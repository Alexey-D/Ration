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metadata.xml" ContentType="application/vnd.openxmlformats-officedocument.spreadsheetml.sheetMetadata+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s:workbook xmlns:xr2="http://schemas.microsoft.com/office/spreadsheetml/2015/revision2" xmlns:unk2="http://schemas.microsoft.com/office/spreadsheetml/2018/calcfeatures" xmlns:s="http://schemas.openxmlformats.org/spreadsheetml/2006/main" xmlns:r="http://schemas.openxmlformats.org/officeDocument/2006/relationships" xmlns:unk1="http://schemas.microsoft.com/office/spreadsheetml/2010/11/main" xmlns:mc="http://schemas.openxmlformats.org/markup-compatibility/2006" xmlns:xr6="http://schemas.microsoft.com/office/spreadsheetml/2016/revision6" xmlns:xr10="http://schemas.microsoft.com/office/spreadsheetml/2016/revision10" xmlns:xr="http://schemas.microsoft.com/office/spreadsheetml/2014/revision" mc:Ignorable="unk1 xr xr6 xr10 xr2">
  <s:fileVersion appName="xl" lastEdited="7" lowestEdited="7" rupBuild="10313"/>
  <s:workbookPr/>
  <s:bookViews>
    <s:workbookView xr2:uid="{00000000-000D-0000-FFFF-FFFF00000000}" xWindow="100" yWindow="1020" windowWidth="47880" windowHeight="19340"/>
  </s:bookViews>
  <s:sheets>
    <s:sheet name="Калькулятор" sheetId="1" state="visible" r:id="rId1"/>
    <s:sheet name="Данные MET" sheetId="2" state="visible" r:id="rId2"/>
    <s:sheet name="Расчёт для веса" sheetId="3" state="visible" r:id="rId3"/>
  </s:sheets>
  <s:definedNames>
    <s:definedName name="_xlnm._FilterDatabase" localSheetId="1" hidden="1">'Данные MET'!$A$1:$D$1061</s:definedName>
    <s:definedName name="_xlnm._FilterDatabase" localSheetId="2" hidden="1">'Расчёт для веса'!$A$1:$E$1061</s:definedName>
  </s:definedNames>
  <s:calcPr calcId="191029" refMode="R1C1"/>
  <s:extLst>
    <s:ext uri="{B58B0392-4F1F-4190-BB64-5DF3571DCE5F}">
      <unk2:calcFeatures>
        <unk2:feature name="microsoft.com:RD"/>
        <unk2:feature name="microsoft.com:Single"/>
        <unk2:feature name="microsoft.com:FV"/>
        <unk2:feature name="microsoft.com:CNMTM"/>
        <unk2:feature name="microsoft.com:LET_WF"/>
        <unk2:feature name="microsoft.com:LAMBDA_WF"/>
      </unk2:calcFeatures>
    </s:ext>
  </s:extLst>
</s:workbook>
</file>

<file path=xl/metadata.xml><?xml version="1.0" encoding="utf-8"?>
<s:metadata xmlns:s="http://schemas.openxmlformats.org/spreadsheetml/2006/main" xmlns:xda="http://schemas.microsoft.com/office/spreadsheetml/2017/dynamicarray">
  <s:metadataTypes count="1">
    <s:metadataType name="XLDAPR" minSupportedVersion="120000" copy="1" pasteAll="1" pasteValues="1" merge="1" splitFirst="1" rowColShift="1" clearFormats="1" clearComments="1" assign="1" coerce="1" cellMeta="1"/>
  </s:metadataTypes>
  <s:futureMetadata name="XLDAPR" count="1">
    <s:bk>
      <s:extLst>
        <s:ext uri="{bdbb8cdc-fa1e-496e-a857-3c3f30c029c3}">
          <xda:dynamicArrayProperties fDynamic="1" fCollapsed="0"/>
        </s:ext>
      </s:extLst>
    </s:bk>
  </s:futureMetadata>
  <s:cellMetadata count="1">
    <s:bk>
      <s:rc t="1" v="0"/>
    </s:bk>
  </s:cellMetadata>
</s:metadata>
</file>

<file path=xl/sharedStrings.xml><?xml version="1.0" encoding="utf-8"?>
<s:sst xmlns:s="http://schemas.openxmlformats.org/spreadsheetml/2006/main" count="6395" uniqueCount="2165">
  <s:si>
    <s:t>Калькулятор энергозатрат по 2024 Adult Compendium</s:t>
  </s:si>
  <s:si>
    <s:t>Масса тела, кг</s:t>
  </s:si>
  <s:si>
    <s:t>Вид нагрузки</s:t>
  </s:si>
  <s:si>
    <s:t>Bicycling, mountain, uphill, vigorous</s:t>
  </s:si>
  <s:si>
    <s:t>MET</s:t>
  </s:si>
  <s:si>
    <s:t>Ккал/мин</s:t>
  </s:si>
  <s:si>
    <s:t>Ккал за 30 мин</s:t>
  </s:si>
  <s:si>
    <s:t>Ккал за 60 мин</s:t>
  </s:si>
  <s:si>
    <s:t>Формула:</s:t>
  </s:si>
  <s:si>
    <s:t>ккал/мин = MET × 3,5 × масса тела (кг) / 200</s:t>
  </s:si>
  <s:si>
    <s:t>Источник:</s:t>
  </s:si>
  <s:si>
    <s:t>2024 Adult Compendium of Physical Activities</s:t>
  </s:si>
  <s:si>
    <s:t>Категория</s:t>
  </s:si>
  <s:si>
    <s:t>Код</s:t>
  </s:si>
  <s:si>
    <s:t>Активность</s:t>
  </s:si>
  <s:si>
    <s:t>Bicycling</s:t>
  </s:si>
  <s:si>
    <s:t>01003</s:t>
  </s:si>
  <s:si>
    <s:t>01004</s:t>
  </s:si>
  <s:si>
    <s:t>Bicycling, mountain, competitive racing</s:t>
  </s:si>
  <s:si>
    <s:t>01008</s:t>
  </s:si>
  <s:si>
    <s:t>Bicycling, BMX</s:t>
  </s:si>
  <s:si>
    <s:t>01009</s:t>
  </s:si>
  <s:si>
    <s:t>Bicycling, mountain, general</s:t>
  </s:si>
  <s:si>
    <s:t>01010</s:t>
  </s:si>
  <s:si>
    <s:t>Bicycling, &lt;10 mph, leisure, to work or for pleasure (Taylor Code 115)</s:t>
  </s:si>
  <s:si>
    <s:t>01011</s:t>
  </s:si>
  <s:si>
    <s:t>Bicycling, to/from work, self selected pace</s:t>
  </s:si>
  <s:si>
    <s:t>01013</s:t>
  </s:si>
  <s:si>
    <s:t>Bicycling, on dirt or farm road, moderate pace</s:t>
  </s:si>
  <s:si>
    <s:t>01014</s:t>
  </s:si>
  <s:si>
    <s:t>Bicycling, general</s:t>
  </s:si>
  <s:si>
    <s:t>01015</s:t>
  </s:si>
  <s:si>
    <s:t>Bicycling, self-selected easy pace</s:t>
  </s:si>
  <s:si>
    <s:t>01016</s:t>
  </s:si>
  <s:si>
    <s:t>Bicycling, self-selected moderate pace</s:t>
  </s:si>
  <s:si>
    <s:t>01017</s:t>
  </s:si>
  <s:si>
    <s:t>Bicycling, self-selected vigorous pace</s:t>
  </s:si>
  <s:si>
    <s:t>01018</s:t>
  </s:si>
  <s:si>
    <s:t>Bicycling, leisure 5.5 mph</s:t>
  </s:si>
  <s:si>
    <s:t>01019</s:t>
  </s:si>
  <s:si>
    <s:t>Bicycling, leisure, 9.4 mph</s:t>
  </s:si>
  <s:si>
    <s:t>01020</s:t>
  </s:si>
  <s:si>
    <s:t>Bicycling, 10-11.9 mph, leisure, slow, light effort</s:t>
  </s:si>
  <s:si>
    <s:t>01030</s:t>
  </s:si>
  <s:si>
    <s:t>Bicycling, 12-13.9 mph, leisure, moderate effort</s:t>
  </s:si>
  <s:si>
    <s:t>01040</s:t>
  </s:si>
  <s:si>
    <s:t>Bicycling, 14-15.9 mph, racing or leisure, fast, vigorous effort</s:t>
  </s:si>
  <s:si>
    <s:t>01050</s:t>
  </s:si>
  <s:si>
    <s:t>Bicycling, 16-19 mph, racing/not drafting or &gt;19 mph drafting, very fast, racing general</s:t>
  </s:si>
  <s:si>
    <s:t>01060</s:t>
  </s:si>
  <s:si>
    <s:t>Bicycling, &gt;20 mph, racing, not drafting</s:t>
  </s:si>
  <s:si>
    <s:t>01065</s:t>
  </s:si>
  <s:si>
    <s:t>Bicycling, 12 mph, seated, hands on brake hoods or bar drops, 80 rpm</s:t>
  </s:si>
  <s:si>
    <s:t>01066</s:t>
  </s:si>
  <s:si>
    <s:t>Bicycling, 12 mph, standing, hands on brake hoods, 60 rpm</s:t>
  </s:si>
  <s:si>
    <s:t>01070</s:t>
  </s:si>
  <s:si>
    <s:t>Unicycling</s:t>
  </s:si>
  <s:si>
    <s:t>01080</s:t>
  </s:si>
  <s:si>
    <s:t>E-bike (electrically assisted) without electronic support</s:t>
  </s:si>
  <s:si>
    <s:t>01084</s:t>
  </s:si>
  <s:si>
    <s:t>E-bike (electrically assisted) with light electronic support</s:t>
  </s:si>
  <s:si>
    <s:t>01088</s:t>
  </s:si>
  <s:si>
    <s:t>E-bike (electrically assisted) with high electronic support</s:t>
  </s:si>
  <s:si>
    <s:t>01200</s:t>
  </s:si>
  <s:si>
    <s:t>Bicycling, stationary, general</s:t>
  </s:si>
  <s:si>
    <s:t>01210</s:t>
  </s:si>
  <s:si>
    <s:t>Bicycling, stationary, 25-30 watts, very light to light effort</s:t>
  </s:si>
  <s:si>
    <s:t>01214</s:t>
  </s:si>
  <s:si>
    <s:t>Bicycling, stationary, 50 watts, light effort</s:t>
  </s:si>
  <s:si>
    <s:t>01216</s:t>
  </s:si>
  <s:si>
    <s:t>Bicycling, stationary, 60 watts, light to moderate effort</s:t>
  </s:si>
  <s:si>
    <s:t>01218</s:t>
  </s:si>
  <s:si>
    <s:t>Bicycling, stationary, 70-80 watts</s:t>
  </s:si>
  <s:si>
    <s:t>01220</s:t>
  </s:si>
  <s:si>
    <s:t>Bicycling, stationary, 90-100 watts, moderate to vigorous</s:t>
  </s:si>
  <s:si>
    <s:t>01224</s:t>
  </s:si>
  <s:si>
    <s:t>Bicycling, stationary, 101-125 watts</s:t>
  </s:si>
  <s:si>
    <s:t>01228</s:t>
  </s:si>
  <s:si>
    <s:t>Bicycling, stationary, 126-150 watts</s:t>
  </s:si>
  <s:si>
    <s:t>01232</s:t>
  </s:si>
  <s:si>
    <s:t>Bicycling, stationary, 151-199 watts</s:t>
  </s:si>
  <s:si>
    <s:t>01236</s:t>
  </s:si>
  <s:si>
    <s:t>Bicycling, stationary, 200-229 watts, vigorous</s:t>
  </s:si>
  <s:si>
    <s:t>01240</s:t>
  </s:si>
  <s:si>
    <s:t>Bicycling, stationary, 230-250 watts, very vigorous</s:t>
  </s:si>
  <s:si>
    <s:t>01244</s:t>
  </s:si>
  <s:si>
    <s:t>Bicycling, stationary, 270-305 watts, very vigorous</s:t>
  </s:si>
  <s:si>
    <s:t>01248</s:t>
  </s:si>
  <s:si>
    <s:t>Bicycling, stationary, &gt;325 watts, very vigorous</s:t>
  </s:si>
  <s:si>
    <s:t>01252</s:t>
  </s:si>
  <s:si>
    <s:t>Bicycling, concentric only, 100 W</s:t>
  </s:si>
  <s:si>
    <s:t>01254</s:t>
  </s:si>
  <s:si>
    <s:t>Bicycling, concentric only, 200 W</s:t>
  </s:si>
  <s:si>
    <s:t>01262</s:t>
  </s:si>
  <s:si>
    <s:t>Bicycling, eccentric only, 100 to 149 W</s:t>
  </s:si>
  <s:si>
    <s:t>01264</s:t>
  </s:si>
  <s:si>
    <s:t>Bicycling, eccentric only, 200 W</s:t>
  </s:si>
  <s:si>
    <s:t>01270</s:t>
  </s:si>
  <s:si>
    <s:t>Bicycling, stationary, RPM/Spin bike class</s:t>
  </s:si>
  <s:si>
    <s:t>01290</s:t>
  </s:si>
  <s:si>
    <s:t>Bicycling, interactive virtual cycling, indoor cycle ergometer</s:t>
  </s:si>
  <s:si>
    <s:t>01305</s:t>
  </s:si>
  <s:si>
    <s:t>Bicycling, high intensity interval training</s:t>
  </s:si>
  <s:si>
    <s:t>Conditioning Exercise</s:t>
  </s:si>
  <s:si>
    <s:t>02000</s:t>
  </s:si>
  <s:si>
    <s:t>Aerobic, general</s:t>
  </s:si>
  <s:si>
    <s:t>02001</s:t>
  </s:si>
  <s:si>
    <s:t>Aerobic, step, with 4-inch step</s:t>
  </s:si>
  <s:si>
    <s:t>02002</s:t>
  </s:si>
  <s:si>
    <s:t>Aerobic, step, with 6 – 8 inch step</s:t>
  </s:si>
  <s:si>
    <s:t>02003</s:t>
  </s:si>
  <s:si>
    <s:t>Aerobic, step, with 10 – 12 inch step</s:t>
  </s:si>
  <s:si>
    <s:t>02004</s:t>
  </s:si>
  <s:si>
    <s:t>Bench step class, general</s:t>
  </s:si>
  <s:si>
    <s:t>02005</s:t>
  </s:si>
  <s:si>
    <s:t>Aerobic dance, low impact, moderate effort</s:t>
  </s:si>
  <s:si>
    <s:t>02006</s:t>
  </s:si>
  <s:si>
    <s:t>Aerobic dance, high impact, vigorous effort</s:t>
  </s:si>
  <s:si>
    <s:t>02007</s:t>
  </s:si>
  <s:si>
    <s:t>Aerobic dance wearing 10-15 lb weights</s:t>
  </s:si>
  <s:si>
    <s:t>02008</s:t>
  </s:si>
  <s:si>
    <s:t>Army type obstacle course exercise, boot camp training program</s:t>
  </s:si>
  <s:si>
    <s:t>02020</s:t>
  </s:si>
  <s:si>
    <s:t>Calisthenics (e.g., pushups, sit ups, pull-ups, jumping jacks, burpees, battling ropes), vigorous effort</s:t>
  </s:si>
  <s:si>
    <s:t>02022</s:t>
  </s:si>
  <s:si>
    <s:t>Calisthenics (e.g., pushups, sit ups, pull-ups, lunges), moderate effort</s:t>
  </s:si>
  <s:si>
    <s:t>02024</s:t>
  </s:si>
  <s:si>
    <s:t>Calisthenics (e.g., curl ups, abdominal crunches, plank), light effort</s:t>
  </s:si>
  <s:si>
    <s:t>02030</s:t>
  </s:si>
  <s:si>
    <s:t>Calisthenics, light or moderate effort, general (e.g., back exercises), going up &amp; down from floor (Taylor Code 150)</s:t>
  </s:si>
  <s:si>
    <s:t>02032</s:t>
  </s:si>
  <s:si>
    <s:t>Circuit training, body weight exercises</s:t>
  </s:si>
  <s:si>
    <s:t>02034</s:t>
  </s:si>
  <s:si>
    <s:t>Circuit training, light effort</s:t>
  </s:si>
  <s:si>
    <s:t>02035</s:t>
  </s:si>
  <s:si>
    <s:t>Circuit training, moderate effort</s:t>
  </s:si>
  <s:si>
    <s:t>02040</s:t>
  </s:si>
  <s:si>
    <s:t>Circuit training, including kettlebells, some aerobic movement with minimal rest, general, vigorous intensity</s:t>
  </s:si>
  <s:si>
    <s:t>02045</s:t>
  </s:si>
  <s:si>
    <s:t>Curves™ exercise routines in women</s:t>
  </s:si>
  <s:si>
    <s:t>02048</s:t>
  </s:si>
  <s:si>
    <s:t>Elliptical trainer, moderate effort</s:t>
  </s:si>
  <s:si>
    <s:t>02049</s:t>
  </s:si>
  <s:si>
    <s:t>Elliptical trainer, vigorous effort</s:t>
  </s:si>
  <s:si>
    <s:t>02050</s:t>
  </s:si>
  <s:si>
    <s:t>Resistance (weight lifting - free weight, nautilus or universal-type), power lifting or body building, vigorous effort (Taylor Code 210)</s:t>
  </s:si>
  <s:si>
    <s:t>02052</s:t>
  </s:si>
  <s:si>
    <s:t>Resistance (weight) training, squats, deadlift, slow or explosive effort</s:t>
  </s:si>
  <s:si>
    <s:t>02054</s:t>
  </s:si>
  <s:si>
    <s:t>Resistance (weight) training, multiple exercises, 8-15 reps at varied resistance</s:t>
  </s:si>
  <s:si>
    <s:t>02055</s:t>
  </s:si>
  <s:si>
    <s:t>Resistance Training, circuit, reciprocol supersets, peripheral hear action training</s:t>
  </s:si>
  <s:si>
    <s:t>02056</s:t>
  </s:si>
  <s:si>
    <s:t>Body weight resistance exercises (e.g., squat, lunge, push-up, crunch), general</s:t>
  </s:si>
  <s:si>
    <s:t>02057</s:t>
  </s:si>
  <s:si>
    <s:t>Body weight resistance exercises (e.g., squat, lunge, push-up, crunch), high intensity</s:t>
  </s:si>
  <s:si>
    <s:t>02058</s:t>
  </s:si>
  <s:si>
    <s:t>Kettle bell swings</s:t>
  </s:si>
  <s:si>
    <s:t>02060</s:t>
  </s:si>
  <s:si>
    <s:t>Health club exercise, general (Taylor Code 160)</s:t>
  </s:si>
  <s:si>
    <s:t>02061</s:t>
  </s:si>
  <s:si>
    <s:t>Health club exercise classes general, gym/weight training combined in one visit</s:t>
  </s:si>
  <s:si>
    <s:t>02062</s:t>
  </s:si>
  <s:si>
    <s:t>Health club exercise, conditioning classes</s:t>
  </s:si>
  <s:si>
    <s:t>02064</s:t>
  </s:si>
  <s:si>
    <s:t>Home exercise, general</s:t>
  </s:si>
  <s:si>
    <s:t>02065</s:t>
  </s:si>
  <s:si>
    <s:t>Stair treadmill ergometer, general</s:t>
  </s:si>
  <s:si>
    <s:t>02068</s:t>
  </s:si>
  <s:si>
    <s:t>Rope skipping exercise, general</s:t>
  </s:si>
  <s:si>
    <s:t>02069</s:t>
  </s:si>
  <s:si>
    <s:t>Jumping rope, Digi-Jump Maching, 120 jumps/minute</s:t>
  </s:si>
  <s:si>
    <s:t>02070</s:t>
  </s:si>
  <s:si>
    <s:t>Rowing, stationary ergometer, general, vigorous effort</s:t>
  </s:si>
  <s:si>
    <s:t>02071</s:t>
  </s:si>
  <s:si>
    <s:t>Rowing, stationary ergometer, general, &lt;100 watts, moderate effort</s:t>
  </s:si>
  <s:si>
    <s:t>02072</s:t>
  </s:si>
  <s:si>
    <s:t>Rowing, stationary, 100 to 149 watts, vigorous effort</s:t>
  </s:si>
  <s:si>
    <s:t>02073</s:t>
  </s:si>
  <s:si>
    <s:t>Rowing, stationary, 150 to 199 watts, vigorous effort</s:t>
  </s:si>
  <s:si>
    <s:t>02074</s:t>
  </s:si>
  <s:si>
    <s:t>Rowing, stationary, ≥ 200 watts, very vigorous effort</s:t>
  </s:si>
  <s:si>
    <s:t>02078</s:t>
  </s:si>
  <s:si>
    <s:t>Shuttle running, forward/backward/lateral</s:t>
  </s:si>
  <s:si>
    <s:t>02080</s:t>
  </s:si>
  <s:si>
    <s:t>Ski machine, general</s:t>
  </s:si>
  <s:si>
    <s:t>02082</s:t>
  </s:si>
  <s:si>
    <s:t>Ski ergometer, cross country, double poling, slow to moderate speed</s:t>
  </s:si>
  <s:si>
    <s:t>02084</s:t>
  </s:si>
  <s:si>
    <s:t>Ski ergometer, cross country, double poling, fast to maximum speed</s:t>
  </s:si>
  <s:si>
    <s:t>02085</s:t>
  </s:si>
  <s:si>
    <s:t>Slide board exercise, general</s:t>
  </s:si>
  <s:si>
    <s:t>02090</s:t>
  </s:si>
  <s:si>
    <s:t>Slimnastics, jazzercise</s:t>
  </s:si>
  <s:si>
    <s:t>02101</s:t>
  </s:si>
  <s:si>
    <s:t>Stretching, mild</s:t>
  </s:si>
  <s:si>
    <s:t>02103</s:t>
  </s:si>
  <s:si>
    <s:t>Pilates, traditional, mat</s:t>
  </s:si>
  <s:si>
    <s:t>02105</s:t>
  </s:si>
  <s:si>
    <s:t>Pilates, general</s:t>
  </s:si>
  <s:si>
    <s:t>02107</s:t>
  </s:si>
  <s:si>
    <s:t>Pound, combination of Pilates and body movements with drumming</s:t>
  </s:si>
  <s:si>
    <s:t>02108</s:t>
  </s:si>
  <s:si>
    <s:t>Pole dancing, exercise class</s:t>
  </s:si>
  <s:si>
    <s:t>02110</s:t>
  </s:si>
  <s:si>
    <s:t>Teaching exercise classes (e.g., aerobic, water)</s:t>
  </s:si>
  <s:si>
    <s:t>02112</s:t>
  </s:si>
  <s:si>
    <s:t>Therapeutic exercise ball, Fitball exercise</s:t>
  </s:si>
  <s:si>
    <s:t>02114</s:t>
  </s:si>
  <s:si>
    <s:t>Therapeutic exercise ball, Fitball exercise, high intensity</s:t>
  </s:si>
  <s:si>
    <s:t>02115</s:t>
  </s:si>
  <s:si>
    <s:t>Upper body exercise, arm ergometer, general, light</s:t>
  </s:si>
  <s:si>
    <s:t>02116</s:t>
  </s:si>
  <s:si>
    <s:t>Arm Ergometer, hand bike, 15W</s:t>
  </s:si>
  <s:si>
    <s:t>02117</s:t>
  </s:si>
  <s:si>
    <s:t>Arm Ergometer, hand bike, 25-30W</s:t>
  </s:si>
  <s:si>
    <s:t>02118</s:t>
  </s:si>
  <s:si>
    <s:t>Arm Ergometer, hand bike, 45W</s:t>
  </s:si>
  <s:si>
    <s:t>02119</s:t>
  </s:si>
  <s:si>
    <s:t>Upper body exercise, stationary bicycle - Airdyne (arms only) 40 rpm, moderate intensity</s:t>
  </s:si>
  <s:si>
    <s:t>02120</s:t>
  </s:si>
  <s:si>
    <s:t>Water aerobics, water calisthenics, water exercise</s:t>
  </s:si>
  <s:si>
    <s:t>02135</s:t>
  </s:si>
  <s:si>
    <s:t>Whirlpool, sitting</s:t>
  </s:si>
  <s:si>
    <s:t>02140</s:t>
  </s:si>
  <s:si>
    <s:t>Video, exercise workouts, TV conditioning programs (e.g., yoga, stretching, seated), light effort</s:t>
  </s:si>
  <s:si>
    <s:t>02143</s:t>
  </s:si>
  <s:si>
    <s:t>Video, exercise workouts, TV conditioning programs (e.g., cardio-resistance training), moderate</s:t>
  </s:si>
  <s:si>
    <s:t>02145</s:t>
  </s:si>
  <s:si>
    <s:t>Video, exercise workouts, TV conditioning programs (e.g., cardio-resistance training), vigorous</s:t>
  </s:si>
  <s:si>
    <s:t>02150</s:t>
  </s:si>
  <s:si>
    <s:t>Yoga, Hatha</s:t>
  </s:si>
  <s:si>
    <s:t>02153</s:t>
  </s:si>
  <s:si>
    <s:t>Yoga, Hatha, high intensity</s:t>
  </s:si>
  <s:si>
    <s:t>02155</s:t>
  </s:si>
  <s:si>
    <s:t>Yoga, Hot</s:t>
  </s:si>
  <s:si>
    <s:t>02160</s:t>
  </s:si>
  <s:si>
    <s:t>Yoga, Power</s:t>
  </s:si>
  <s:si>
    <s:t>02170</s:t>
  </s:si>
  <s:si>
    <s:t>Yoga, Nadisodhana</s:t>
  </s:si>
  <s:si>
    <s:t>02175</s:t>
  </s:si>
  <s:si>
    <s:t>Yoga, General</s:t>
  </s:si>
  <s:si>
    <s:t>02180</s:t>
  </s:si>
  <s:si>
    <s:t>Yoga, Surya Namaskar</s:t>
  </s:si>
  <s:si>
    <s:t>02185</s:t>
  </s:si>
  <s:si>
    <s:t>Yoga, Vinyasa</s:t>
  </s:si>
  <s:si>
    <s:t>02200</s:t>
  </s:si>
  <s:si>
    <s:t>Native New Zealander PA, (e.g., Haka Powhiri, Poi, Moteatea, etc.), general moderate effort</s:t>
  </s:si>
  <s:si>
    <s:t>02205</s:t>
  </s:si>
  <s:si>
    <s:t>Native New Zealander PA, general, vigorous effort</s:t>
  </s:si>
  <s:si>
    <s:t>02210</s:t>
  </s:si>
  <s:si>
    <s:t>High intensity interval exercise, moderate effort</s:t>
  </s:si>
  <s:si>
    <s:t>02214</s:t>
  </s:si>
  <s:si>
    <s:t>High intensity interval exercise, burpees, mountain climbers, squat jumps, Tabata, vigorous effort</s:t>
  </s:si>
  <s:si>
    <s:t>02225</s:t>
  </s:si>
  <s:si>
    <s:t>Balance Exercise Assist Robot (BEAR), simulated skiing, tennis, rodeo</s:t>
  </s:si>
  <s:si>
    <s:t>02230</s:t>
  </s:si>
  <s:si>
    <s:t>Hooping (formerly known as hula® hooping)</s:t>
  </s:si>
  <s:si>
    <s:t>02240</s:t>
  </s:si>
  <s:si>
    <s:t>Impulse Training System, Inertial Exercise Trainer</s:t>
  </s:si>
  <s:si>
    <s:t>02280</s:t>
  </s:si>
  <s:si>
    <s:t>Virtual Reality Fitness, Supernatural™ “Flow”, “Boxing" vigorous intensity</s:t>
  </s:si>
  <s:si>
    <s:t>02284</s:t>
  </s:si>
  <s:si>
    <s:t>ExerCube, workout series</s:t>
  </s:si>
  <s:si>
    <s:t>02288</s:t>
  </s:si>
  <s:si>
    <s:t>Blackbox Immersive virtual reality exergaming system, vigorous intensity</s:t>
  </s:si>
  <s:si>
    <s:t>02300</s:t>
  </s:si>
  <s:si>
    <s:t>Wand exercise, Life-Build-Line</s:t>
  </s:si>
  <s:si>
    <s:t>02310</s:t>
  </s:si>
  <s:si>
    <s:t>Zumba, group class</s:t>
  </s:si>
  <s:si>
    <s:t>02315</s:t>
  </s:si>
  <s:si>
    <s:t>Zumba, home video</s:t>
  </s:si>
  <s:si>
    <s:t>02340</s:t>
  </s:si>
  <s:si>
    <s:t>Sit to stand exercise, 6-12 times/min</s:t>
  </s:si>
  <s:si>
    <s:t>02344</s:t>
  </s:si>
  <s:si>
    <s:t>Sit to stand exercise, 18-24 times/min</s:t>
  </s:si>
  <s:si>
    <s:t>Dancing</s:t>
  </s:si>
  <s:si>
    <s:t>03005</s:t>
  </s:si>
  <s:si>
    <s:t>Afro-Cuban salsa (Cuban cha-cha-cha, mambo, Afro rumba, contratiempo son steps, orisha/santo movements)</s:t>
  </s:si>
  <s:si>
    <s:t>03010</s:t>
  </s:si>
  <s:si>
    <s:t>Ballet, modern, or jazz general, rehearsal or class</s:t>
  </s:si>
  <s:si>
    <s:t>03011</s:t>
  </s:si>
  <s:si>
    <s:t>Ballet exercises (plie, tendus, jetes, rond de Jambes, fondus, grand battement, grand adage, sautes, temp Leve's)</s:t>
  </s:si>
  <s:si>
    <s:t>03012</s:t>
  </s:si>
  <s:si>
    <s:t>Ballet, modern, or jazz, performance, vigorous effort</s:t>
  </s:si>
  <s:si>
    <s:t>03014</s:t>
  </s:si>
  <s:si>
    <s:t>Tap</s:t>
  </s:si>
  <s:si>
    <s:t>03025</s:t>
  </s:si>
  <s:si>
    <s:t>Ethnic or cultural dancing (e.g. Greek, Middle Eastern, hula, salsa, merengue, bamba y plena, flamenco, belly, and swing)</s:t>
  </s:si>
  <s:si>
    <s:t>03028</s:t>
  </s:si>
  <s:si>
    <s:t>Chinese square dance, Ballet &amp; Tibetan dance</s:t>
  </s:si>
  <s:si>
    <s:t>03029</s:t>
  </s:si>
  <s:si>
    <s:t>Chinese square dance, aerobic dance</s:t>
  </s:si>
  <s:si>
    <s:t>03030</s:t>
  </s:si>
  <s:si>
    <s:t>Ballroom dancing, fast (Taylor Code 125)</s:t>
  </s:si>
  <s:si>
    <s:t>03031</s:t>
  </s:si>
  <s:si>
    <s:t>Nightclub or folk dancing, vigorous effort (e.g., nightclub, disco, folk, line dancing, Irish step dancing, polka, contra)</s:t>
  </s:si>
  <s:si>
    <s:t>03033</s:t>
  </s:si>
  <s:si>
    <s:t>Folk dancing, moderate effort</s:t>
  </s:si>
  <s:si>
    <s:t>03038</s:t>
  </s:si>
  <s:si>
    <s:t>Ballroom dancing, competitive, general</s:t>
  </s:si>
  <s:si>
    <s:t>03039</s:t>
  </s:si>
  <s:si>
    <s:t>ballroom dance, DanceSport competition (modern waltz, tango, Viennese waltz, slow fox, quick step, samba, chacha, rumba, paso doble, jive)</s:t>
  </s:si>
  <s:si>
    <s:t>03040</s:t>
  </s:si>
  <s:si>
    <s:t>Ballroom, slow, examples: waltz, foxtrot, slow dancing, samba tango, rumba, 19th century dance, mambo, cha cha</s:t>
  </s:si>
  <s:si>
    <s:t>03042</s:t>
  </s:si>
  <s:si>
    <s:t>Ballroom Dance, Recreational (Waltz, Foxtrot, Cha-cha, Swing)</s:t>
  </s:si>
  <s:si>
    <s:t>03050</s:t>
  </s:si>
  <s:si>
    <s:t>Anishinaabe Jingle dancing, brisk pace, other traditional American Indian dancing performed by women, moderate effort</s:t>
  </s:si>
  <s:si>
    <s:t>03060</s:t>
  </s:si>
  <s:si>
    <s:t>Caribbean dance (Abakua, Beguine, Bellair, Bongo, Brukin’s, Caribbean Quadrills, Dinki Mini, Gere, Gumbay, Ibo, Jonkonnu, Kumina, Oreisha, Jambu)</s:t>
  </s:si>
  <s:si>
    <s:t>03070</s:t>
  </s:si>
  <s:si>
    <s:t>Contemporary dancing, general</s:t>
  </s:si>
  <s:si>
    <s:t>03072</s:t>
  </s:si>
  <s:si>
    <s:t>Contemporary dancing, nightclub</s:t>
  </s:si>
  <s:si>
    <s:t>03075</s:t>
  </s:si>
  <s:si>
    <s:t>Flamenco dance</s:t>
  </s:si>
  <s:si>
    <s:t>03078</s:t>
  </s:si>
  <s:si>
    <s:t>Jazz dancing, general</s:t>
  </s:si>
  <s:si>
    <s:t>03080</s:t>
  </s:si>
  <s:si>
    <s:t>Musical Theater, Singing/dancing</s:t>
  </s:si>
  <s:si>
    <s:t>03085</s:t>
  </s:si>
  <s:si>
    <s:t>Polynesian dance, Hawaiian hula slow, Maori haka, Tongan</s:t>
  </s:si>
  <s:si>
    <s:t>03086</s:t>
  </s:si>
  <s:si>
    <s:t>Polynesian dance, Hawaiian hula fast, Samoan sasa, Fijian style fast, Filipino Tinikling</s:t>
  </s:si>
  <s:si>
    <s:t>03087</s:t>
  </s:si>
  <s:si>
    <s:t>Polynesian dance, Samoan slap, Tahitian</s:t>
  </s:si>
  <s:si>
    <s:t>03090</s:t>
  </s:si>
  <s:si>
    <s:t>Salsa Dancing, with partner</s:t>
  </s:si>
  <s:si>
    <s:t>03091</s:t>
  </s:si>
  <s:si>
    <s:t>Salsa dancing, to a video</s:t>
  </s:si>
  <s:si>
    <s:t>03093</s:t>
  </s:si>
  <s:si>
    <s:t>Square Dancing, American Western, country</s:t>
  </s:si>
  <s:si>
    <s:t>Fishing &amp; Hunting</s:t>
  </s:si>
  <s:si>
    <s:t>04001</s:t>
  </s:si>
  <s:si>
    <s:t>Fishing, general</s:t>
  </s:si>
  <s:si>
    <s:t>04005</s:t>
  </s:si>
  <s:si>
    <s:t>Fishing, crab fishing</s:t>
  </s:si>
  <s:si>
    <s:t>04007</s:t>
  </s:si>
  <s:si>
    <s:t>Fishing, catching fish with hands</s:t>
  </s:si>
  <s:si>
    <s:t>04010</s:t>
  </s:si>
  <s:si>
    <s:t>Fishing related, digging worms, with shovel</s:t>
  </s:si>
  <s:si>
    <s:t>04020</s:t>
  </s:si>
  <s:si>
    <s:t>Fishing from river bank and walking</s:t>
  </s:si>
  <s:si>
    <s:t>04030</s:t>
  </s:si>
  <s:si>
    <s:t>Fishing from boat or canoe, sitting</s:t>
  </s:si>
  <s:si>
    <s:t>04040</s:t>
  </s:si>
  <s:si>
    <s:t>Fishing from river bank, standing (Taylor Code 660)</s:t>
  </s:si>
  <s:si>
    <s:t>04050</s:t>
  </s:si>
  <s:si>
    <s:t>Fishing in stream, in waders (Taylor Code 670)</s:t>
  </s:si>
  <s:si>
    <s:t>04060</s:t>
  </s:si>
  <s:si>
    <s:t>Fishing, ice, sitting</s:t>
  </s:si>
  <s:si>
    <s:t>04061</s:t>
  </s:si>
  <s:si>
    <s:t>Fishing, jig or line, standing, general</s:t>
  </s:si>
  <s:si>
    <s:t>04062</s:t>
  </s:si>
  <s:si>
    <s:t>Fishing, dip net, setting net and retrieving fish, general</s:t>
  </s:si>
  <s:si>
    <s:t>04063</s:t>
  </s:si>
  <s:si>
    <s:t>Fishing, set net, setting net and retrieving fish, general</s:t>
  </s:si>
  <s:si>
    <s:t>04064</s:t>
  </s:si>
  <s:si>
    <s:t>Fishing, fishing wheel, setting net and retrieving fish, general</s:t>
  </s:si>
  <s:si>
    <s:t>04065</s:t>
  </s:si>
  <s:si>
    <s:t>Fishing with a spear, standing</s:t>
  </s:si>
  <s:si>
    <s:t>04070</s:t>
  </s:si>
  <s:si>
    <s:t>Hunting, bow and arrow or crossbow</s:t>
  </s:si>
  <s:si>
    <s:t>04080</s:t>
  </s:si>
  <s:si>
    <s:t>Hunting, deer, elk, large game (Taylor Code 170)</s:t>
  </s:si>
  <s:si>
    <s:t>04081</s:t>
  </s:si>
  <s:si>
    <s:t>Hunting large game, dragging carcass</s:t>
  </s:si>
  <s:si>
    <s:t>04083</s:t>
  </s:si>
  <s:si>
    <s:t>Hunting large marine animals</s:t>
  </s:si>
  <s:si>
    <s:t>04085</s:t>
  </s:si>
  <s:si>
    <s:t>Hunting, large game from a hunting stand, limited walking</s:t>
  </s:si>
  <s:si>
    <s:t>04086</s:t>
  </s:si>
  <s:si>
    <s:t>Hunting large game from a car, plane, or boat</s:t>
  </s:si>
  <s:si>
    <s:t>04090</s:t>
  </s:si>
  <s:si>
    <s:t>Hunting, duck, wading</s:t>
  </s:si>
  <s:si>
    <s:t>04095</s:t>
  </s:si>
  <s:si>
    <s:t>Hunting flying fox, squirrel</s:t>
  </s:si>
  <s:si>
    <s:t>04100</s:t>
  </s:si>
  <s:si>
    <s:t>Hunting, general</s:t>
  </s:si>
  <s:si>
    <s:t>04110</s:t>
  </s:si>
  <s:si>
    <s:t>Hunting, pheasants or grouse (Taylor Code 680)</s:t>
  </s:si>
  <s:si>
    <s:t>04115</s:t>
  </s:si>
  <s:si>
    <s:t>Hunting birds</s:t>
  </s:si>
  <s:si>
    <s:t>04120</s:t>
  </s:si>
  <s:si>
    <s:t>Hunting, rabbit, squirrel, prairie chick, raccoon, small game (Taylor Code 690)</s:t>
  </s:si>
  <s:si>
    <s:t>04123</s:t>
  </s:si>
  <s:si>
    <s:t>Hunting pigs, wild</s:t>
  </s:si>
  <s:si>
    <s:t>04124</s:t>
  </s:si>
  <s:si>
    <s:t>Trapping game, general</s:t>
  </s:si>
  <s:si>
    <s:t>04125</s:t>
  </s:si>
  <s:si>
    <s:t>Hunting - hiking with hunting gear</s:t>
  </s:si>
  <s:si>
    <s:t>04130</s:t>
  </s:si>
  <s:si>
    <s:t>Pistol shooting or trap shooting, standing</s:t>
  </s:si>
  <s:si>
    <s:t>04140</s:t>
  </s:si>
  <s:si>
    <s:t>Rifle exercises, shooting, lying down</s:t>
  </s:si>
  <s:si>
    <s:t>04145</s:t>
  </s:si>
  <s:si>
    <s:t>Rifle exercises, shooting, kneeling or standing</s:t>
  </s:si>
  <s:si>
    <s:t>04150</s:t>
  </s:si>
  <s:si>
    <s:t>Foraging, 0-9.9kg backpack</s:t>
  </s:si>
  <s:si>
    <s:t>04152</s:t>
  </s:si>
  <s:si>
    <s:t>Foraging, 10-15kg backpack</s:t>
  </s:si>
  <s:si>
    <s:t>04160</s:t>
  </s:si>
  <s:si>
    <s:t>Sitting in boat, passenger</s:t>
  </s:si>
  <s:si>
    <s:t>04164</s:t>
  </s:si>
  <s:si>
    <s:t>Standing in boat</s:t>
  </s:si>
  <s:si>
    <s:t>04168</s:t>
  </s:si>
  <s:si>
    <s:t>Activities in a boat, lifting, lowering</s:t>
  </s:si>
  <s:si>
    <s:t>Home Activities</s:t>
  </s:si>
  <s:si>
    <s:t>05010</s:t>
  </s:si>
  <s:si>
    <s:t>Cleaning, sweeping carpet or floors, general</s:t>
  </s:si>
  <s:si>
    <s:t>05011</s:t>
  </s:si>
  <s:si>
    <s:t>Cleaning, sweeping, slow, light effort</s:t>
  </s:si>
  <s:si>
    <s:t>05012</s:t>
  </s:si>
  <s:si>
    <s:t>Cleaning, sweeping, fast, moderate effort</s:t>
  </s:si>
  <s:si>
    <s:t>05020</s:t>
  </s:si>
  <s:si>
    <s:t>Cleaning heavy or major (e.g., wash car, clean garage), moderate effort</s:t>
  </s:si>
  <s:si>
    <s:t>05021</s:t>
  </s:si>
  <s:si>
    <s:t>Cleaning, mopping, standing, moderate effort</s:t>
  </s:si>
  <s:si>
    <s:t>05022</s:t>
  </s:si>
  <s:si>
    <s:t>Cleaning windows, washing windows, general</s:t>
  </s:si>
  <s:si>
    <s:t>05023</s:t>
  </s:si>
  <s:si>
    <s:t>Mopping, standing, light effort</s:t>
  </s:si>
  <s:si>
    <s:t>05024</s:t>
  </s:si>
  <s:si>
    <s:t>Polishing floors, standing, walking slowly, using electric polishing machine</s:t>
  </s:si>
  <s:si>
    <s:t>05025</s:t>
  </s:si>
  <s:si>
    <s:t>Multiple household tasks all at once, light effort</s:t>
  </s:si>
  <s:si>
    <s:t>05026</s:t>
  </s:si>
  <s:si>
    <s:t>Multiple household tasks all at once, moderate effort</s:t>
  </s:si>
  <s:si>
    <s:t>05027</s:t>
  </s:si>
  <s:si>
    <s:t>Multiple household tasks all at once, vigorous effort</s:t>
  </s:si>
  <s:si>
    <s:t>05030</s:t>
  </s:si>
  <s:si>
    <s:t>Cleaning, house or cabin, general, moderate effort</s:t>
  </s:si>
  <s:si>
    <s:t>05032</s:t>
  </s:si>
  <s:si>
    <s:t>Dusting or polishing furniture, general</s:t>
  </s:si>
  <s:si>
    <s:t>05035</s:t>
  </s:si>
  <s:si>
    <s:t>Kitchen activity, general, (e.g., cooking, washing dishes, cleaning up) moderate effort</s:t>
  </s:si>
  <s:si>
    <s:t>05040</s:t>
  </s:si>
  <s:si>
    <s:t>Cleaning, general (straightening up, changing linen, carrying out trash), light effort</s:t>
  </s:si>
  <s:si>
    <s:t>05041</s:t>
  </s:si>
  <s:si>
    <s:t>Wash dishes, standing or in general (not broken into stand/walk components)</s:t>
  </s:si>
  <s:si>
    <s:t>05042</s:t>
  </s:si>
  <s:si>
    <s:t>Wash dishes, clearing dishes from table, walking, light effort</s:t>
  </s:si>
  <s:si>
    <s:t>05043</s:t>
  </s:si>
  <s:si>
    <s:t>Vacuuming, general, moderate effort</s:t>
  </s:si>
  <s:si>
    <s:t>05044</s:t>
  </s:si>
  <s:si>
    <s:t>Butchering animals, small</s:t>
  </s:si>
  <s:si>
    <s:t>05045</s:t>
  </s:si>
  <s:si>
    <s:t>Butchering animals, large, vigorous effort</s:t>
  </s:si>
  <s:si>
    <s:t>05046</s:t>
  </s:si>
  <s:si>
    <s:t>Cutting and smoking fish, drying fish or meat</s:t>
  </s:si>
  <s:si>
    <s:t>05048</s:t>
  </s:si>
  <s:si>
    <s:t>Tanning hides, general</s:t>
  </s:si>
  <s:si>
    <s:t>05049</s:t>
  </s:si>
  <s:si>
    <s:t>Cooking or food preparation, moderate effort</s:t>
  </s:si>
  <s:si>
    <s:t>05050</s:t>
  </s:si>
  <s:si>
    <s:t>Cooking or food preparation - standing or sitting or in general (not broken into stand/walk components), manual appliances, light effort</s:t>
  </s:si>
  <s:si>
    <s:t>05051</s:t>
  </s:si>
  <s:si>
    <s:t>Cooking or food preparation, walking</s:t>
  </s:si>
  <s:si>
    <s:t>05052</s:t>
  </s:si>
  <s:si>
    <s:t>Serving food, setting/cleaning table, implied walking or standing</s:t>
  </s:si>
  <s:si>
    <s:t>05053</s:t>
  </s:si>
  <s:si>
    <s:t>Feeding household animals</s:t>
  </s:si>
  <s:si>
    <s:t>05054</s:t>
  </s:si>
  <s:si>
    <s:t>carrying groceries, on level ground, walking</s:t>
  </s:si>
  <s:si>
    <s:t>05055</s:t>
  </s:si>
  <s:si>
    <s:t>Putting away groceries (e.g. carrying groceries, carrying packages)</s:t>
  </s:si>
  <s:si>
    <s:t>05056</s:t>
  </s:si>
  <s:si>
    <s:t>Carrying groceries upstairs</s:t>
  </s:si>
  <s:si>
    <s:t>05057</s:t>
  </s:si>
  <s:si>
    <s:t>Cooking Indian bread or other food on an outside stove</s:t>
  </s:si>
  <s:si>
    <s:t>05060</s:t>
  </s:si>
  <s:si>
    <s:t>Food shopping with or without a grocery cart; carrying a 10 lb bag; standing or walking</s:t>
  </s:si>
  <s:si>
    <s:t>05065</s:t>
  </s:si>
  <s:si>
    <s:t>Non-food shopping, with or without cart, standing or walking</s:t>
  </s:si>
  <s:si>
    <s:t>05070</s:t>
  </s:si>
  <s:si>
    <s:t>Ironing</s:t>
  </s:si>
  <s:si>
    <s:t>05080</s:t>
  </s:si>
  <s:si>
    <s:t>Knitting, sewing, light effort, wrapping presents, sitting</s:t>
  </s:si>
  <s:si>
    <s:t>05082</s:t>
  </s:si>
  <s:si>
    <s:t>Sewing with a machine</s:t>
  </s:si>
  <s:si>
    <s:t>05090</s:t>
  </s:si>
  <s:si>
    <s:t>Laundry, fold or hang clothes, put clothes in washer or dryer, packing suitcase, washing clothes by hand, implied standing, light effort</s:t>
  </s:si>
  <s:si>
    <s:t>05091</s:t>
  </s:si>
  <s:si>
    <s:t>Laundry, fold or hang clothes, sitting</s:t>
  </s:si>
  <s:si>
    <s:t>05092</s:t>
  </s:si>
  <s:si>
    <s:t>Laundry, moderate effort</s:t>
  </s:si>
  <s:si>
    <s:t>05095</s:t>
  </s:si>
  <s:si>
    <s:t>Laundry, putting away clothes, gathering clothes to pack, putting away laundry, implied walking</s:t>
  </s:si>
  <s:si>
    <s:t>05100</s:t>
  </s:si>
  <s:si>
    <s:t>Making bed, changing linens</s:t>
  </s:si>
  <s:si>
    <s:t>05110</s:t>
  </s:si>
  <s:si>
    <s:t>Maple syruping/sugar bushing (including carrying buckets, carrying wood)</s:t>
  </s:si>
  <s:si>
    <s:t>05120</s:t>
  </s:si>
  <s:si>
    <s:t>Moving furniture, household items, carrying boxes</s:t>
  </s:si>
  <s:si>
    <s:t>05121</s:t>
  </s:si>
  <s:si>
    <s:t>Moving, lifting light loads</s:t>
  </s:si>
  <s:si>
    <s:t>05125</s:t>
  </s:si>
  <s:si>
    <s:t>Organizing a room</s:t>
  </s:si>
  <s:si>
    <s:t>05130</s:t>
  </s:si>
  <s:si>
    <s:t>Scrubbing floors, on hands and knees, scrubbing bathroom, bathtub, moderate effort</s:t>
  </s:si>
  <s:si>
    <s:t>05131</s:t>
  </s:si>
  <s:si>
    <s:t>Scrubbing floors, on hands and knees, scrubbing bathroom, bathtub, light effort</s:t>
  </s:si>
  <s:si>
    <s:t>05132</s:t>
  </s:si>
  <s:si>
    <s:t>Scrubbing floors, on hands and knees, scrubbing bathroom, bathtub, vigorous effort</s:t>
  </s:si>
  <s:si>
    <s:t>05140</s:t>
  </s:si>
  <s:si>
    <s:t>Sweeping garage, sidewalk, or outside house</s:t>
  </s:si>
  <s:si>
    <s:t>05146</s:t>
  </s:si>
  <s:si>
    <s:t>Standing, packing/unpacking boxes, occasional lifting lightweight household items, loading or unloading items into a car, moderate effort</s:t>
  </s:si>
  <s:si>
    <s:t>05147</s:t>
  </s:si>
  <s:si>
    <s:t>Implied walking, putting away household items, moderate effort</s:t>
  </s:si>
  <s:si>
    <s:t>05148</s:t>
  </s:si>
  <s:si>
    <s:t>Watering plants</s:t>
  </s:si>
  <s:si>
    <s:t>05149</s:t>
  </s:si>
  <s:si>
    <s:t>Building a fire inside</s:t>
  </s:si>
  <s:si>
    <s:t>05150</s:t>
  </s:si>
  <s:si>
    <s:t>Moving household items upstairs, carrying boxes or furniture</s:t>
  </s:si>
  <s:si>
    <s:t>05160</s:t>
  </s:si>
  <s:si>
    <s:t>Standing, light effort tasks (pump gas, change light bulb, etc.)</s:t>
  </s:si>
  <s:si>
    <s:t>05165</s:t>
  </s:si>
  <s:si>
    <s:t>Walking, moderate effort tasks, non-cleaning (readying to leave, shut/lock doors, close windows, etc.</s:t>
  </s:si>
  <s:si>
    <s:t>05170</s:t>
  </s:si>
  <s:si>
    <s:t>Sitting, playing with child(ren), light effort, only active periods</s:t>
  </s:si>
  <s:si>
    <s:t>05171</s:t>
  </s:si>
  <s:si>
    <s:t>Standing, playing with child(ren), light effort, only active periods</s:t>
  </s:si>
  <s:si>
    <s:t>05175</s:t>
  </s:si>
  <s:si>
    <s:t>Walking/running, playing with child(ren), moderate effort, only active periods</s:t>
  </s:si>
  <s:si>
    <s:t>05180</s:t>
  </s:si>
  <s:si>
    <s:t>Walking/running, playing with child(ren), vigorous effort, only active periods</s:t>
  </s:si>
  <s:si>
    <s:t>05181</s:t>
  </s:si>
  <s:si>
    <s:t>Walking and carrying small child, child weighing 15 lbs or more</s:t>
  </s:si>
  <s:si>
    <s:t>05182</s:t>
  </s:si>
  <s:si>
    <s:t>Walking and carrying small child, child weighing less than 15 lbs</s:t>
  </s:si>
  <s:si>
    <s:t>05183</s:t>
  </s:si>
  <s:si>
    <s:t>Standing, holding child</s:t>
  </s:si>
  <s:si>
    <s:t>05184</s:t>
  </s:si>
  <s:si>
    <s:t>Child care, infant, general</s:t>
  </s:si>
  <s:si>
    <s:t>05185</s:t>
  </s:si>
  <s:si>
    <s:t>Child care: sitting or kneeling, dressing, bathing, grooming, feeding, occasional lifting of child-light effort, general</s:t>
  </s:si>
  <s:si>
    <s:t>05186</s:t>
  </s:si>
  <s:si>
    <s:t>Child care: standing, dressing, bathing, grooming, feeding, occasional lifting of child- light effort</s:t>
  </s:si>
  <s:si>
    <s:t>05188</s:t>
  </s:si>
  <s:si>
    <s:t>Reclining with baby</s:t>
  </s:si>
  <s:si>
    <s:t>05189</s:t>
  </s:si>
  <s:si>
    <s:t>Breastfeeding, sitting or reclining</s:t>
  </s:si>
  <s:si>
    <s:t>05190</s:t>
  </s:si>
  <s:si>
    <s:t>Sit, playing with animals, light, only active period</s:t>
  </s:si>
  <s:si>
    <s:t>05191</s:t>
  </s:si>
  <s:si>
    <s:t>Stand, playing with animals, light effort, only active periods</s:t>
  </s:si>
  <s:si>
    <s:t>05192</s:t>
  </s:si>
  <s:si>
    <s:t>Walk or run, playing with animals, general, light effort, only active periods</s:t>
  </s:si>
  <s:si>
    <s:t>05193</s:t>
  </s:si>
  <s:si>
    <s:t>Walk/run, playing with animals, moderate effort, only active periods</s:t>
  </s:si>
  <s:si>
    <s:t>05194</s:t>
  </s:si>
  <s:si>
    <s:t>Walk/run, playing with animals, vigorous effort, only active periods</s:t>
  </s:si>
  <s:si>
    <s:t>05195</s:t>
  </s:si>
  <s:si>
    <s:t>Standing, bathing dog</s:t>
  </s:si>
  <s:si>
    <s:t>05197</s:t>
  </s:si>
  <s:si>
    <s:t>Animal care, household animals, general</s:t>
  </s:si>
  <s:si>
    <s:t>05200</s:t>
  </s:si>
  <s:si>
    <s:t>Elder care, disabled adult, bathing, dressing, moving into and out of bed, only active periods</s:t>
  </s:si>
  <s:si>
    <s:t>05205</s:t>
  </s:si>
  <s:si>
    <s:t>Elder care, disabled adult, feeding, combing hair, light effort, only active periods</s:t>
  </s:si>
  <s:si>
    <s:t>05300</s:t>
  </s:si>
  <s:si>
    <s:t>Handwashing</s:t>
  </s:si>
  <s:si>
    <s:t>Home Repair</s:t>
  </s:si>
  <s:si>
    <s:t>06010</s:t>
  </s:si>
  <s:si>
    <s:t>Airplane repair</s:t>
  </s:si>
  <s:si>
    <s:t>06020</s:t>
  </s:si>
  <s:si>
    <s:t>Automobile body work</s:t>
  </s:si>
  <s:si>
    <s:t>06030</s:t>
  </s:si>
  <s:si>
    <s:t>Automobile repair, light or moderate effort</s:t>
  </s:si>
  <s:si>
    <s:t>06040</s:t>
  </s:si>
  <s:si>
    <s:t>Carpentry, general, workshop (Taylor Code 620)</s:t>
  </s:si>
  <s:si>
    <s:t>06050</s:t>
  </s:si>
  <s:si>
    <s:t>Carpentry, outside house, (Taylor Code 640)</s:t>
  </s:si>
  <s:si>
    <s:t>06052</s:t>
  </s:si>
  <s:si>
    <s:t>Carpentry, outside house, building a fence</s:t>
  </s:si>
  <s:si>
    <s:t>06060</s:t>
  </s:si>
  <s:si>
    <s:t>Carpentry, finishing, varnishing, or refinishing cabinets or furniture</s:t>
  </s:si>
  <s:si>
    <s:t>06070</s:t>
  </s:si>
  <s:si>
    <s:t>Carpentry, sawing hardwood, planing and drilling wood, moderate-to-vigorous effort</s:t>
  </s:si>
  <s:si>
    <s:t>06072</s:t>
  </s:si>
  <s:si>
    <s:t>Carpentry, home remodeling tasks, moderate effort</s:t>
  </s:si>
  <s:si>
    <s:t>06074</s:t>
  </s:si>
  <s:si>
    <s:t>Carpentry, home remodeling tasks, light effort</s:t>
  </s:si>
  <s:si>
    <s:t>06080</s:t>
  </s:si>
  <s:si>
    <s:t>Caulking, chinking log cabin</s:t>
  </s:si>
  <s:si>
    <s:t>06090</s:t>
  </s:si>
  <s:si>
    <s:t>Caulking, except log cabin</s:t>
  </s:si>
  <s:si>
    <s:t>06100</s:t>
  </s:si>
  <s:si>
    <s:t>Cleaning gutters</s:t>
  </s:si>
  <s:si>
    <s:t>06110</s:t>
  </s:si>
  <s:si>
    <s:t>Excavating garage</s:t>
  </s:si>
  <s:si>
    <s:t>06120</s:t>
  </s:si>
  <s:si>
    <s:t>Hanging storm windows</s:t>
  </s:si>
  <s:si>
    <s:t>06122</s:t>
  </s:si>
  <s:si>
    <s:t>Hanging sheet rock inside house</s:t>
  </s:si>
  <s:si>
    <s:t>06124</s:t>
  </s:si>
  <s:si>
    <s:t>Hammering nails</s:t>
  </s:si>
  <s:si>
    <s:t>06126</s:t>
  </s:si>
  <s:si>
    <s:t>Home repair, general, light effort</s:t>
  </s:si>
  <s:si>
    <s:t>06127</s:t>
  </s:si>
  <s:si>
    <s:t>Home repair, general, moderate effort</s:t>
  </s:si>
  <s:si>
    <s:t>06128</s:t>
  </s:si>
  <s:si>
    <s:t>Home repair, general, vigorous effort</s:t>
  </s:si>
  <s:si>
    <s:t>06130</s:t>
  </s:si>
  <s:si>
    <s:t>Laying or removing carpet</s:t>
  </s:si>
  <s:si>
    <s:t>06140</s:t>
  </s:si>
  <s:si>
    <s:t>Laying tile or linoleum</s:t>
  </s:si>
  <s:si>
    <s:t>06144</s:t>
  </s:si>
  <s:si>
    <s:t>Repairing appliances</s:t>
  </s:si>
  <s:si>
    <s:t>06150</s:t>
  </s:si>
  <s:si>
    <s:t>Painting, outside home (Taylor Code 650)</s:t>
  </s:si>
  <s:si>
    <s:t>06160</s:t>
  </s:si>
  <s:si>
    <s:t>Painting inside house, wallpapering, scraping paint</s:t>
  </s:si>
  <s:si>
    <s:t>06165</s:t>
  </s:si>
  <s:si>
    <s:t>Painting (Taylor Code 630)</s:t>
  </s:si>
  <s:si>
    <s:t>06167</s:t>
  </s:si>
  <s:si>
    <s:t>Plumbing, general</s:t>
  </s:si>
  <s:si>
    <s:t>06170</s:t>
  </s:si>
  <s:si>
    <s:t>Put on and removal of tarp – sailboat</s:t>
  </s:si>
  <s:si>
    <s:t>06180</s:t>
  </s:si>
  <s:si>
    <s:t>Roofing</s:t>
  </s:si>
  <s:si>
    <s:t>06190</s:t>
  </s:si>
  <s:si>
    <s:t>Sanding floors with a power sander</s:t>
  </s:si>
  <s:si>
    <s:t>06200</s:t>
  </s:si>
  <s:si>
    <s:t>Scraping and painting sailboat or powerboat</s:t>
  </s:si>
  <s:si>
    <s:t>06205</s:t>
  </s:si>
  <s:si>
    <s:t>Sharpening tools</s:t>
  </s:si>
  <s:si>
    <s:t>06210</s:t>
  </s:si>
  <s:si>
    <s:t>Spreading dirt with a shovel</s:t>
  </s:si>
  <s:si>
    <s:t>06220</s:t>
  </s:si>
  <s:si>
    <s:t>Washing and waxing hull of sailboat or airplane</s:t>
  </s:si>
  <s:si>
    <s:t>06225</s:t>
  </s:si>
  <s:si>
    <s:t>Washing and waxing car</s:t>
  </s:si>
  <s:si>
    <s:t>06230</s:t>
  </s:si>
  <s:si>
    <s:t>Washing fence, painting fence, moderate effort</s:t>
  </s:si>
  <s:si>
    <s:t>06240</s:t>
  </s:si>
  <s:si>
    <s:t>Wiring, tapping-splicing</s:t>
  </s:si>
  <s:si>
    <s:t>Inactivity</s:t>
  </s:si>
  <s:si>
    <s:t>07009</s:t>
  </s:si>
  <s:si>
    <s:t>Lying quietly and watching television</s:t>
  </s:si>
  <s:si>
    <s:t>07011</s:t>
  </s:si>
  <s:si>
    <s:t>Lying quietly, doing nothing, lying in bed awake, listening to music (not talking or reading)</s:t>
  </s:si>
  <s:si>
    <s:t>07020</s:t>
  </s:si>
  <s:si>
    <s:t>Sit, watch television</s:t>
  </s:si>
  <s:si>
    <s:t>07021</s:t>
  </s:si>
  <s:si>
    <s:t>Sitting quietly, general</s:t>
  </s:si>
  <s:si>
    <s:t>07022</s:t>
  </s:si>
  <s:si>
    <s:t>Sitting quietly, fidgeting, general, fidgeting hands</s:t>
  </s:si>
  <s:si>
    <s:t>07023</s:t>
  </s:si>
  <s:si>
    <s:t>Sitting, fidget feet</s:t>
  </s:si>
  <s:si>
    <s:t>07024</s:t>
  </s:si>
  <s:si>
    <s:t>Sitting smoking</s:t>
  </s:si>
  <s:si>
    <s:t>07025</s:t>
  </s:si>
  <s:si>
    <s:t>Sitting, listening to music (not talking or reading) or watching a movie in a theater</s:t>
  </s:si>
  <s:si>
    <s:t>07026</s:t>
  </s:si>
  <s:si>
    <s:t>Sitting at a desk, resting head in hands</s:t>
  </s:si>
  <s:si>
    <s:t>07030</s:t>
  </s:si>
  <s:si>
    <s:t>Sleeping</s:t>
  </s:si>
  <s:si>
    <s:t>07040</s:t>
  </s:si>
  <s:si>
    <s:t>Standing quietly (standing in a line)</s:t>
  </s:si>
  <s:si>
    <s:t>07041</s:t>
  </s:si>
  <s:si>
    <s:t>Standing (fidgeting)</s:t>
  </s:si>
  <s:si>
    <s:t>07045</s:t>
  </s:si>
  <s:si>
    <s:t>Standing watching television</s:t>
  </s:si>
  <s:si>
    <s:t>07050</s:t>
  </s:si>
  <s:si>
    <s:t>Reclining, writing</s:t>
  </s:si>
  <s:si>
    <s:t>07060</s:t>
  </s:si>
  <s:si>
    <s:t>Reclining, talking or talking on phone</s:t>
  </s:si>
  <s:si>
    <s:t>07070</s:t>
  </s:si>
  <s:si>
    <s:t>Reclining, reading</s:t>
  </s:si>
  <s:si>
    <s:t>07075</s:t>
  </s:si>
  <s:si>
    <s:t>Meditating</s:t>
  </s:si>
  <s:si>
    <s:t>Lawn &amp; Garden</s:t>
  </s:si>
  <s:si>
    <s:t>08009</s:t>
  </s:si>
  <s:si>
    <s:t>Carrying, loading or stacking wood, loading/unloading or carrying lumber, light-to- moderate effort</s:t>
  </s:si>
  <s:si>
    <s:t>08010</s:t>
  </s:si>
  <s:si>
    <s:t>Carrying, loading or stacking wood, loading/unloading or carrying lumber, moderate effort</s:t>
  </s:si>
  <s:si>
    <s:t>08019</s:t>
  </s:si>
  <s:si>
    <s:t>Chopping wood, splitting logs, moderate effort</s:t>
  </s:si>
  <s:si>
    <s:t>08020</s:t>
  </s:si>
  <s:si>
    <s:t>Chopping wood, splitting logs, vigorous effort</s:t>
  </s:si>
  <s:si>
    <s:t>08025</s:t>
  </s:si>
  <s:si>
    <s:t>Clearing light brush, thinning garden, moderate effort</s:t>
  </s:si>
  <s:si>
    <s:t>08030</s:t>
  </s:si>
  <s:si>
    <s:t>Clearing land, haul brush, undergrowth, or ground, vigorous effort</s:t>
  </s:si>
  <s:si>
    <s:t>08040</s:t>
  </s:si>
  <s:si>
    <s:t>Digging sandbox, shoveling sand</s:t>
  </s:si>
  <s:si>
    <s:t>08045</s:t>
  </s:si>
  <s:si>
    <s:t>Digging, spading, filling garden, composting, light-to-moderate effort</s:t>
  </s:si>
  <s:si>
    <s:t>08050</s:t>
  </s:si>
  <s:si>
    <s:t>Digging, spading, filling garden, composting (Taylor Code 590)</s:t>
  </s:si>
  <s:si>
    <s:t>08052</s:t>
  </s:si>
  <s:si>
    <s:t>Digging, spading, filling garden, composting, vigorous effort</s:t>
  </s:si>
  <s:si>
    <s:t>08055</s:t>
  </s:si>
  <s:si>
    <s:t>Driving tractor</s:t>
  </s:si>
  <s:si>
    <s:t>08057</s:t>
  </s:si>
  <s:si>
    <s:t>Felling trees, large size</s:t>
  </s:si>
  <s:si>
    <s:t>08058</s:t>
  </s:si>
  <s:si>
    <s:t>Felling trees, small-medium size</s:t>
  </s:si>
  <s:si>
    <s:t>08060</s:t>
  </s:si>
  <s:si>
    <s:t>Gardening with heavy power tools, using chain saw, tilling a garden</s:t>
  </s:si>
  <s:si>
    <s:t>08066</s:t>
  </s:si>
  <s:si>
    <s:t>gardening, general</s:t>
  </s:si>
  <s:si>
    <s:t>08070</s:t>
  </s:si>
  <s:si>
    <s:t>Irrigation channels, opening and closing ports</s:t>
  </s:si>
  <s:si>
    <s:t>08080</s:t>
  </s:si>
  <s:si>
    <s:t>Laying crushed rock or gravel</s:t>
  </s:si>
  <s:si>
    <s:t>08090</s:t>
  </s:si>
  <s:si>
    <s:t>Laying sod</s:t>
  </s:si>
  <s:si>
    <s:t>08095</s:t>
  </s:si>
  <s:si>
    <s:t>Mowing lawn, general, walking, moderate effort</s:t>
  </s:si>
  <s:si>
    <s:t>08100</s:t>
  </s:si>
  <s:si>
    <s:t>Mowing lawn, riding mower (Taylor Code 550)</s:t>
  </s:si>
  <s:si>
    <s:t>08110</s:t>
  </s:si>
  <s:si>
    <s:t>Mowing lawn, hand mower, vigorous effort (Taylor Code 570)</s:t>
  </s:si>
  <s:si>
    <s:t>08120</s:t>
  </s:si>
  <s:si>
    <s:t>Mowing lawn, walk, power mower, moderate or vigorous effort</s:t>
  </s:si>
  <s:si>
    <s:t>08125</s:t>
  </s:si>
  <s:si>
    <s:t>Mowing lawn, power mower, light or moderate effort (Taylor Code 590)</s:t>
  </s:si>
  <s:si>
    <s:t>08130</s:t>
  </s:si>
  <s:si>
    <s:t>Operating snow blower, walking</s:t>
  </s:si>
  <s:si>
    <s:t>08135</s:t>
  </s:si>
  <s:si>
    <s:t>Planting, potting, transplanting seedlings or plants, light effort</s:t>
  </s:si>
  <s:si>
    <s:t>08140</s:t>
  </s:si>
  <s:si>
    <s:t>Planting seedlings, shrubs, stooping, moderate effort</s:t>
  </s:si>
  <s:si>
    <s:t>08145</s:t>
  </s:si>
  <s:si>
    <s:t>Planting crops or garden, stooping, moderate effort</s:t>
  </s:si>
  <s:si>
    <s:t>08150</s:t>
  </s:si>
  <s:si>
    <s:t>Planting trees</s:t>
  </s:si>
  <s:si>
    <s:t>08160</s:t>
  </s:si>
  <s:si>
    <s:t>Raking lawn or leaves, moderate effort</s:t>
  </s:si>
  <s:si>
    <s:t>08165</s:t>
  </s:si>
  <s:si>
    <s:t>Raking lawn (Taylor Code 600)</s:t>
  </s:si>
  <s:si>
    <s:t>08170</s:t>
  </s:si>
  <s:si>
    <s:t>Raking roof with snow rake</s:t>
  </s:si>
  <s:si>
    <s:t>08180</s:t>
  </s:si>
  <s:si>
    <s:t>Riding snow blower</s:t>
  </s:si>
  <s:si>
    <s:t>08190</s:t>
  </s:si>
  <s:si>
    <s:t>Sacking grass, leaves</s:t>
  </s:si>
  <s:si>
    <s:t>08192</s:t>
  </s:si>
  <s:si>
    <s:t>Shoveling dirt or mud</s:t>
  </s:si>
  <s:si>
    <s:t>08195</s:t>
  </s:si>
  <s:si>
    <s:t>Shoveling snow, by hand, moderate effort</s:t>
  </s:si>
  <s:si>
    <s:t>08200</s:t>
  </s:si>
  <s:si>
    <s:t>Shoveling snow, by hand (Taylor Code 610)</s:t>
  </s:si>
  <s:si>
    <s:t>08202</s:t>
  </s:si>
  <s:si>
    <s:t>Shoveling snow, by hand, vigorous effort</s:t>
  </s:si>
  <s:si>
    <s:t>08210</s:t>
  </s:si>
  <s:si>
    <s:t>Trimming shrubs or trees, manual cutter</s:t>
  </s:si>
  <s:si>
    <s:t>08215</s:t>
  </s:si>
  <s:si>
    <s:t>Trimming shrubs or trees, power cutter, using leaf blower, edger, moderate effort</s:t>
  </s:si>
  <s:si>
    <s:t>08220</s:t>
  </s:si>
  <s:si>
    <s:t>Walking, applying fertilizer or seeding a lawn, push applicator</s:t>
  </s:si>
  <s:si>
    <s:t>08230</s:t>
  </s:si>
  <s:si>
    <s:t>Watering lawn or garden, standing or walking</s:t>
  </s:si>
  <s:si>
    <s:t>08239</s:t>
  </s:si>
  <s:si>
    <s:t>Weeding, cultivating garden, light-to-moderate effort</s:t>
  </s:si>
  <s:si>
    <s:t>08240</s:t>
  </s:si>
  <s:si>
    <s:t>Weeding, cultivating garden, moderate effort (Taylor Code 580)</s:t>
  </s:si>
  <s:si>
    <s:t>08241</s:t>
  </s:si>
  <s:si>
    <s:t>Weeding, cultivating garden, using hoe moderate-to-vigorous effort</s:t>
  </s:si>
  <s:si>
    <s:t>08245</s:t>
  </s:si>
  <s:si>
    <s:t>Gardening, general, moderate effort</s:t>
  </s:si>
  <s:si>
    <s:t>08246</s:t>
  </s:si>
  <s:si>
    <s:t>Picking fruit or coffee from trees, moderate effort</s:t>
  </s:si>
  <s:si>
    <s:t>08248</s:t>
  </s:si>
  <s:si>
    <s:t>Harvesting Produce, Picking fruit off trees, gleaning fruits, picking fruits/vegetables, climbing ladder to pick fruit, vigorous effort</s:t>
  </s:si>
  <s:si>
    <s:t>08250</s:t>
  </s:si>
  <s:si>
    <s:t>Implied walking/standing - picking up yard, light, picking flowers or vegetables</s:t>
  </s:si>
  <s:si>
    <s:t>08251</s:t>
  </s:si>
  <s:si>
    <s:t>Walking, gathering gardening tools</s:t>
  </s:si>
  <s:si>
    <s:t>08255</s:t>
  </s:si>
  <s:si>
    <s:t>Wheel barrow, pushing garden cart or wheelbarrow, general</s:t>
  </s:si>
  <s:si>
    <s:t>08256</s:t>
  </s:si>
  <s:si>
    <s:t>Wheel barrow, pushing large garden cart or heavy wheelbarrow up to 150kg</s:t>
  </s:si>
  <s:si>
    <s:t>08260</s:t>
  </s:si>
  <s:si>
    <s:t>Yardwork, general, light effort</s:t>
  </s:si>
  <s:si>
    <s:t>08261</s:t>
  </s:si>
  <s:si>
    <s:t>Yardwork, general, moderate effort</s:t>
  </s:si>
  <s:si>
    <s:t>08262</s:t>
  </s:si>
  <s:si>
    <s:t>Yardwork, general, vigorous effort</s:t>
  </s:si>
  <s:si>
    <s:t>Miscellaneous</s:t>
  </s:si>
  <s:si>
    <s:t>09000</s:t>
  </s:si>
  <s:si>
    <s:t>Board game playing, sitting</s:t>
  </s:si>
  <s:si>
    <s:t>09005</s:t>
  </s:si>
  <s:si>
    <s:t>Casino gambling, standing</s:t>
  </s:si>
  <s:si>
    <s:t>09010</s:t>
  </s:si>
  <s:si>
    <s:t>Card playing, sitting</s:t>
  </s:si>
  <s:si>
    <s:t>09013</s:t>
  </s:si>
  <s:si>
    <s:t>Chess game, sitting</s:t>
  </s:si>
  <s:si>
    <s:t>09015</s:t>
  </s:si>
  <s:si>
    <s:t>Copying or filing documents, standing</s:t>
  </s:si>
  <s:si>
    <s:t>09020</s:t>
  </s:si>
  <s:si>
    <s:t>Drawing, writing, painting, standing</s:t>
  </s:si>
  <s:si>
    <s:t>09025</s:t>
  </s:si>
  <s:si>
    <s:t>Laughter, sitting</s:t>
  </s:si>
  <s:si>
    <s:t>09030</s:t>
  </s:si>
  <s:si>
    <s:t>Sitting: reading, book, newspaper, magazine</s:t>
  </s:si>
  <s:si>
    <s:t>09034</s:t>
  </s:si>
  <s:si>
    <s:t>sitting, typing or reading on a balance chair/stability ball</s:t>
  </s:si>
  <s:si>
    <s:t>09036</s:t>
  </s:si>
  <s:si>
    <s:t>watching tv, stepping during commercial breaks</s:t>
  </s:si>
  <s:si>
    <s:t>09040</s:t>
  </s:si>
  <s:si>
    <s:t>Sitting: writing, desk work, typing</s:t>
  </s:si>
  <s:si>
    <s:t>09050</s:t>
  </s:si>
  <s:si>
    <s:t>Standing: talking in person, on the phone, computer, text messaging, writing</s:t>
  </s:si>
  <s:si>
    <s:t>09055</s:t>
  </s:si>
  <s:si>
    <s:t>Sitting: talking in person, on the phone, computer, or text messaging, light effort</s:t>
  </s:si>
  <s:si>
    <s:t>09060</s:t>
  </s:si>
  <s:si>
    <s:t>Sitting - studying, general, including reading and/or writing, light effort</s:t>
  </s:si>
  <s:si>
    <s:t>09065</s:t>
  </s:si>
  <s:si>
    <s:t>Sitting - in class, general, including note-taking or class discussion</s:t>
  </s:si>
  <s:si>
    <s:t>09070</s:t>
  </s:si>
  <s:si>
    <s:t>Standing - reading</s:t>
  </s:si>
  <s:si>
    <s:t>09071</s:t>
  </s:si>
  <s:si>
    <s:t>Standing: miscellaneous</s:t>
  </s:si>
  <s:si>
    <s:t>09075</s:t>
  </s:si>
  <s:si>
    <s:t>Sitting: arts and crafts, carving wood, weaving, spinning wool, light effort</s:t>
  </s:si>
  <s:si>
    <s:t>09080</s:t>
  </s:si>
  <s:si>
    <s:t>Sitting: arts and crafts, carving wood, weaving, spinning wool, moderate effort</s:t>
  </s:si>
  <s:si>
    <s:t>09085</s:t>
  </s:si>
  <s:si>
    <s:t>Standing: arts and crafts, sand painting, carving, weaving, light effort</s:t>
  </s:si>
  <s:si>
    <s:t>09090</s:t>
  </s:si>
  <s:si>
    <s:t>Standing - arts and crafts, sand painting, carving, weaving, moderate effort</s:t>
  </s:si>
  <s:si>
    <s:t>09095</s:t>
  </s:si>
  <s:si>
    <s:t>Standing - arts and crafts, sand painting, carving, weaving, vigorous effort</s:t>
  </s:si>
  <s:si>
    <s:t>09100</s:t>
  </s:si>
  <s:si>
    <s:t>Retreat/family reunion activities involving sitting, relaxing, talking, eating</s:t>
  </s:si>
  <s:si>
    <s:t>09101</s:t>
  </s:si>
  <s:si>
    <s:t>Retreat/family reunion activities involving playing games with children</s:t>
  </s:si>
  <s:si>
    <s:t>09105</s:t>
  </s:si>
  <s:si>
    <s:t>Touring/traveling/vacation involving riding in vehicle</s:t>
  </s:si>
  <s:si>
    <s:t>09106</s:t>
  </s:si>
  <s:si>
    <s:t>Touring/traveling/vacation involving walking</s:t>
  </s:si>
  <s:si>
    <s:t>09110</s:t>
  </s:si>
  <s:si>
    <s:t>Camping involving standing, walking, sitting, light-to-moderate effort</s:t>
  </s:si>
  <s:si>
    <s:t>09115</s:t>
  </s:si>
  <s:si>
    <s:t>Sitting at a sporting event, spectator</s:t>
  </s:si>
  <s:si>
    <s:t>Music Playing</s:t>
  </s:si>
  <s:si>
    <s:t>10010</s:t>
  </s:si>
  <s:si>
    <s:t>Accordion, sitting</s:t>
  </s:si>
  <s:si>
    <s:t>10020</s:t>
  </s:si>
  <s:si>
    <s:t>Cello, sitting</s:t>
  </s:si>
  <s:si>
    <s:t>10030</s:t>
  </s:si>
  <s:si>
    <s:t>Conducting orchestra, standing</s:t>
  </s:si>
  <s:si>
    <s:t>10035</s:t>
  </s:si>
  <s:si>
    <s:t>Double bass, standing</s:t>
  </s:si>
  <s:si>
    <s:t>10040</s:t>
  </s:si>
  <s:si>
    <s:t>Drums, sitting</s:t>
  </s:si>
  <s:si>
    <s:t>10045</s:t>
  </s:si>
  <s:si>
    <s:t>Drumming (e.g., bongo, conga, benbe), moderate, sitting</s:t>
  </s:si>
  <s:si>
    <s:t>10048</s:t>
  </s:si>
  <s:si>
    <s:t>Drumming, concert/live show</s:t>
  </s:si>
  <s:si>
    <s:t>10050</s:t>
  </s:si>
  <s:si>
    <s:t>Flute, sitting</s:t>
  </s:si>
  <s:si>
    <s:t>10060</s:t>
  </s:si>
  <s:si>
    <s:t>Horn, standing</s:t>
  </s:si>
  <s:si>
    <s:t>10070</s:t>
  </s:si>
  <s:si>
    <s:t>Piano, sitting</s:t>
  </s:si>
  <s:si>
    <s:t>10074</s:t>
  </s:si>
  <s:si>
    <s:t>Playing musical instruments, general</s:t>
  </s:si>
  <s:si>
    <s:t>10077</s:t>
  </s:si>
  <s:si>
    <s:t>Organ, sitting</s:t>
  </s:si>
  <s:si>
    <s:t>10080</s:t>
  </s:si>
  <s:si>
    <s:t>Trombone, standing</s:t>
  </s:si>
  <s:si>
    <s:t>10090</s:t>
  </s:si>
  <s:si>
    <s:t>Trumpet, standing</s:t>
  </s:si>
  <s:si>
    <s:t>10100</s:t>
  </s:si>
  <s:si>
    <s:t>Violin, sitting</s:t>
  </s:si>
  <s:si>
    <s:t>10110</s:t>
  </s:si>
  <s:si>
    <s:t>Woodwind instruments, sitting</s:t>
  </s:si>
  <s:si>
    <s:t>10115</s:t>
  </s:si>
  <s:si>
    <s:t>Brass instruments, sitting</s:t>
  </s:si>
  <s:si>
    <s:t>10120</s:t>
  </s:si>
  <s:si>
    <s:t>Guitar, classical, folk, sitting</s:t>
  </s:si>
  <s:si>
    <s:t>10125</s:t>
  </s:si>
  <s:si>
    <s:t>Guitar, rock and roll band, standing</s:t>
  </s:si>
  <s:si>
    <s:t>10130</s:t>
  </s:si>
  <s:si>
    <s:t>Marching band, baton twirling, walking, moderate pace, general</s:t>
  </s:si>
  <s:si>
    <s:t>10131</s:t>
  </s:si>
  <s:si>
    <s:t>Marching band, playing an instrument, walking, brisk pace, general</s:t>
  </s:si>
  <s:si>
    <s:t>10135</s:t>
  </s:si>
  <s:si>
    <s:t>Marching band, drum major, walking</s:t>
  </s:si>
  <s:si>
    <s:t>Occupation</s:t>
  </s:si>
  <s:si>
    <s:t>11000</s:t>
  </s:si>
  <s:si>
    <s:t>Active workstation, Pedal desk, balance chair/ball, General, light effort</s:t>
  </s:si>
  <s:si>
    <s:t>11001</s:t>
  </s:si>
  <s:si>
    <s:t>Active workstation, Pedal desk (40 watts)</s:t>
  </s:si>
  <s:si>
    <s:t>11002</s:t>
  </s:si>
  <s:si>
    <s:t>Active workstation, Pedal desk (80 watts)</s:t>
  </s:si>
  <s:si>
    <s:t>11003</s:t>
  </s:si>
  <s:si>
    <s:t>Active workstation, treadmill desk, walking slowly 1.0 mph or less</s:t>
  </s:si>
  <s:si>
    <s:t>11004</s:t>
  </s:si>
  <s:si>
    <s:t>Active workstation, treadmill desk, walking 1.0 - 2.0 mph</s:t>
  </s:si>
  <s:si>
    <s:t>11006</s:t>
  </s:si>
  <s:si>
    <s:t>Airline flight attendant</s:t>
  </s:si>
  <s:si>
    <s:t>11008</s:t>
  </s:si>
  <s:si>
    <s:t>Apple Harvesting</s:t>
  </s:si>
  <s:si>
    <s:t>11010</s:t>
  </s:si>
  <s:si>
    <s:t>Bakery, general, moderate effort</s:t>
  </s:si>
  <s:si>
    <s:t>11015</s:t>
  </s:si>
  <s:si>
    <s:t>Bakery, light effort</s:t>
  </s:si>
  <s:si>
    <s:t>11020</s:t>
  </s:si>
  <s:si>
    <s:t>Bookbinding</s:t>
  </s:si>
  <s:si>
    <s:t>11030</s:t>
  </s:si>
  <s:si>
    <s:t>Building road, driving heavy machinery</s:t>
  </s:si>
  <s:si>
    <s:t>11035</s:t>
  </s:si>
  <s:si>
    <s:t>Building road, directing traffic, standing</s:t>
  </s:si>
  <s:si>
    <s:t>11038</s:t>
  </s:si>
  <s:si>
    <s:t>Carpentry, general, light effort</s:t>
  </s:si>
  <s:si>
    <s:t>11040</s:t>
  </s:si>
  <s:si>
    <s:t>Carpentry, general, moderate effort</s:t>
  </s:si>
  <s:si>
    <s:t>11042</s:t>
  </s:si>
  <s:si>
    <s:t>Carpentry, general, heavy or vigorous effort</s:t>
  </s:si>
  <s:si>
    <s:t>11050</s:t>
  </s:si>
  <s:si>
    <s:t>Carrying heavy loads (e.g., bricks, tools)</s:t>
  </s:si>
  <s:si>
    <s:t>11060</s:t>
  </s:si>
  <s:si>
    <s:t>Carrying moderate loads up stairs, moving boxes, 25-49 lbs</s:t>
  </s:si>
  <s:si>
    <s:t>11070</s:t>
  </s:si>
  <s:si>
    <s:t>Chambermaid, hotel housekeeper, making bed, cleaning bathroom, pushing cart</s:t>
  </s:si>
  <s:si>
    <s:t>11072</s:t>
  </s:si>
  <s:si>
    <s:t>Cleaning, vacuuming commercial space</s:t>
  </s:si>
  <s:si>
    <s:t>11080</s:t>
  </s:si>
  <s:si>
    <s:t>Coal mining, drilling coal, rock</s:t>
  </s:si>
  <s:si>
    <s:t>11090</s:t>
  </s:si>
  <s:si>
    <s:t>Coal mining, erecting supports</s:t>
  </s:si>
  <s:si>
    <s:t>11100</s:t>
  </s:si>
  <s:si>
    <s:t>Coal mining, general</s:t>
  </s:si>
  <s:si>
    <s:t>11110</s:t>
  </s:si>
  <s:si>
    <s:t>Coal mining, shoveling coal, by hand</s:t>
  </s:si>
  <s:si>
    <s:t>11115</s:t>
  </s:si>
  <s:si>
    <s:t>Cook, chef</s:t>
  </s:si>
  <s:si>
    <s:t>11120</s:t>
  </s:si>
  <s:si>
    <s:t>Construction, outside, remodeling, new structures (e.g., roof repair, miscellaneous)</s:t>
  </s:si>
  <s:si>
    <s:t>11124</s:t>
  </s:si>
  <s:si>
    <s:t>Construction, rebar, bar bending/fixing</s:t>
  </s:si>
  <s:si>
    <s:t>11125</s:t>
  </s:si>
  <s:si>
    <s:t>Custodial work, light effort (e.g., cleaning sink and toilet, dusting, vacuuming, light cleaning)</s:t>
  </s:si>
  <s:si>
    <s:t>11126</s:t>
  </s:si>
  <s:si>
    <s:t>Custodial work, moderate effort (e.g., buffing floors with electric buffer, feathering or sweeping arena floors, mopping, taking out the trash, vaccuming)</s:t>
  </s:si>
  <s:si>
    <s:t>11130</s:t>
  </s:si>
  <s:si>
    <s:t>Electrical work (e.g., hook up wire, tapping splicing); plumbing moved to11516</s:t>
  </s:si>
  <s:si>
    <s:t>11135</s:t>
  </s:si>
  <s:si>
    <s:t>Engineer (e.g., mechanical or electrical)</s:t>
  </s:si>
  <s:si>
    <s:t>11145</s:t>
  </s:si>
  <s:si>
    <s:t>Farming, vigorous effort (e.g., baling hay, cleaning barn), includes former code 11200</s:t>
  </s:si>
  <s:si>
    <s:t>11146</s:t>
  </s:si>
  <s:si>
    <s:t>Farming, moderate effort (e.g., feeding animals, chasing cattle by walking and/or horseback, spreading manure, harvesting crops)</s:t>
  </s:si>
  <s:si>
    <s:t>11147</s:t>
  </s:si>
  <s:si>
    <s:t>Farming, light effort, (e.g., cleaning animal sheds, preparing animal feed)</s:t>
  </s:si>
  <s:si>
    <s:t>11170</s:t>
  </s:si>
  <s:si>
    <s:t>Farming, driving tasks (e.g., driving tractor or harvester)</s:t>
  </s:si>
  <s:si>
    <s:t>11180</s:t>
  </s:si>
  <s:si>
    <s:t>Farming, feeding small animals</s:t>
  </s:si>
  <s:si>
    <s:t>11190</s:t>
  </s:si>
  <s:si>
    <s:t>Farming, feeding cattle, horses</s:t>
  </s:si>
  <s:si>
    <s:t>11191</s:t>
  </s:si>
  <s:si>
    <s:t>Farming, hauling water for animals, fetching water from well or stream</s:t>
  </s:si>
  <s:si>
    <s:t>11192</s:t>
  </s:si>
  <s:si>
    <s:t>Farming, taking care of animals (e.g., grooming, brushing, shearing sheep, assisting with birthing, medical care, branding), general</s:t>
  </s:si>
  <s:si>
    <s:t>11195</s:t>
  </s:si>
  <s:si>
    <s:t>Farming, rice, planting, grain milling activities</s:t>
  </s:si>
  <s:si>
    <s:t>11210</s:t>
  </s:si>
  <s:si>
    <s:t>Farming, milking by hand, cleaning pails, moderate effort</s:t>
  </s:si>
  <s:si>
    <s:t>11220</s:t>
  </s:si>
  <s:si>
    <s:t>Farming, milking by machine, light effort</s:t>
  </s:si>
  <s:si>
    <s:t>11222</s:t>
  </s:si>
  <s:si>
    <s:t>Farming, milking Cows, full milking process, modern milking parlor with milking machines</s:t>
  </s:si>
  <s:si>
    <s:t>11240</s:t>
  </s:si>
  <s:si>
    <s:t>Fire fighter, general</s:t>
  </s:si>
  <s:si>
    <s:t>11244</s:t>
  </s:si>
  <s:si>
    <s:t>Fire fighter, rescue victim, automobile accident, using pike pole</s:t>
  </s:si>
  <s:si>
    <s:t>11245</s:t>
  </s:si>
  <s:si>
    <s:t>Fire fighter, raising and climbing ladder with full gear, simulated fire suppression</s:t>
  </s:si>
  <s:si>
    <s:t>11246</s:t>
  </s:si>
  <s:si>
    <s:t>Fire fighter, hauling hoses on ground, carrying/hoisting equipment, breaking down walls etc., wearing full gear</s:t>
  </s:si>
  <s:si>
    <s:t>11247</s:t>
  </s:si>
  <s:si>
    <s:t>Fishing, commercial, light effort</s:t>
  </s:si>
  <s:si>
    <s:t>11248</s:t>
  </s:si>
  <s:si>
    <s:t>Fishing, commercial, moderate effort</s:t>
  </s:si>
  <s:si>
    <s:t>11250</s:t>
  </s:si>
  <s:si>
    <s:t>Forestry, ax chopping, very fast, 1.25 kg axe, 51 blows/min, extremely vigorous effort</s:t>
  </s:si>
  <s:si>
    <s:t>11260</s:t>
  </s:si>
  <s:si>
    <s:t>Forestry, ax chopping, slow, 1.25 kg axe, 19 blows/min, moderate effort</s:t>
  </s:si>
  <s:si>
    <s:t>11262</s:t>
  </s:si>
  <s:si>
    <s:t>Forestry, ax chopping, fast, 1.25 kg axe, 35 blows/min, vigorous effort</s:t>
  </s:si>
  <s:si>
    <s:t>11264</s:t>
  </s:si>
  <s:si>
    <s:t>Forestry, moderate effort (e.g., sawing wood with power saw, weeding, hoeing)</s:t>
  </s:si>
  <s:si>
    <s:t>11266</s:t>
  </s:si>
  <s:si>
    <s:t>Forestry, vigorous effort (e.g., barking, felling, or trimming trees, carrying or stacking logs, planting seeds, sawing lumber by hand )</s:t>
  </s:si>
  <s:si>
    <s:t>11370</s:t>
  </s:si>
  <s:si>
    <s:t>Furriery</s:t>
  </s:si>
  <s:si>
    <s:t>11375</s:t>
  </s:si>
  <s:si>
    <s:t>Garbage collector, walking, dumping bins into truck, street cleaning</s:t>
  </s:si>
  <s:si>
    <s:t>11378</s:t>
  </s:si>
  <s:si>
    <s:t>Hairstylist (e.g., plaiting hair, manicure, make up artist)</s:t>
  </s:si>
  <s:si>
    <s:t>11380</s:t>
  </s:si>
  <s:si>
    <s:t>Horse grooming, including feeding, cleaning stalls, bathing, brushing, clipping, longeing and exercising horses.</s:t>
  </s:si>
  <s:si>
    <s:t>11381</s:t>
  </s:si>
  <s:si>
    <s:t>Horse, feeding, watering, cleaning stalls, implied walking and lifting loads</s:t>
  </s:si>
  <s:si>
    <s:t>11383</s:t>
  </s:si>
  <s:si>
    <s:t>Horseback riding, working, cutting cows</s:t>
  </s:si>
  <s:si>
    <s:t>11390</s:t>
  </s:si>
  <s:si>
    <s:t>Horse racing, galloping, cantor</s:t>
  </s:si>
  <s:si>
    <s:t>11400</s:t>
  </s:si>
  <s:si>
    <s:t>Horse racing, Jockey, trotting</s:t>
  </s:si>
  <s:si>
    <s:t>11410</s:t>
  </s:si>
  <s:si>
    <s:t>Horse racing, Jockey, walking</s:t>
  </s:si>
  <s:si>
    <s:t>11413</s:t>
  </s:si>
  <s:si>
    <s:t>Kitchen maid</s:t>
  </s:si>
  <s:si>
    <s:t>11415</s:t>
  </s:si>
  <s:si>
    <s:t>Lawn keeper, yardwork, general</s:t>
  </s:si>
  <s:si>
    <s:t>11416</s:t>
  </s:si>
  <s:si>
    <s:t>Lawn keeper, weeding, gas powered</s:t>
  </s:si>
  <s:si>
    <s:t>11418</s:t>
  </s:si>
  <s:si>
    <s:t>Laundry worker</s:t>
  </s:si>
  <s:si>
    <s:t>11420</s:t>
  </s:si>
  <s:si>
    <s:t>Locksmith</s:t>
  </s:si>
  <s:si>
    <s:t>11430</s:t>
  </s:si>
  <s:si>
    <s:t>Machine tooling (e.g., machining, working sheet metal, machine fitter, operating lathe, welding) light-to-moderate effort</s:t>
  </s:si>
  <s:si>
    <s:t>11450</s:t>
  </s:si>
  <s:si>
    <s:t>Machine tooling, operating punch press, moderate effort</s:t>
  </s:si>
  <s:si>
    <s:t>11472</s:t>
  </s:si>
  <s:si>
    <s:t>Manager, property</s:t>
  </s:si>
  <s:si>
    <s:t>11475</s:t>
  </s:si>
  <s:si>
    <s:t>Manual or unskilled labor, general, light effort</s:t>
  </s:si>
  <s:si>
    <s:t>11476</s:t>
  </s:si>
  <s:si>
    <s:t>Manual or unskilled labor, general, moderate effort</s:t>
  </s:si>
  <s:si>
    <s:t>11477</s:t>
  </s:si>
  <s:si>
    <s:t>Manual or unskilled labor, general, vigorous effort</s:t>
  </s:si>
  <s:si>
    <s:t>11480</s:t>
  </s:si>
  <s:si>
    <s:t>Masonary, concrete, moderate effort</s:t>
  </s:si>
  <s:si>
    <s:t>11482</s:t>
  </s:si>
  <s:si>
    <s:t>Masonry, concrete, light effort</s:t>
  </s:si>
  <s:si>
    <s:t>11485</s:t>
  </s:si>
  <s:si>
    <s:t>Massage therapist, standing</s:t>
  </s:si>
  <s:si>
    <s:t>11486</s:t>
  </s:si>
  <s:si>
    <s:t>Mail carrier, walking to deliver mail</s:t>
  </s:si>
  <s:si>
    <s:t>11487</s:t>
  </s:si>
  <s:si>
    <s:t>Mail delivery, motorbike</s:t>
  </s:si>
  <s:si>
    <s:t>11488</s:t>
  </s:si>
  <s:si>
    <s:t>Mail delivery, Electronically Assisted Bicycle</s:t>
  </s:si>
  <s:si>
    <s:t>11490</s:t>
  </s:si>
  <s:si>
    <s:t>Moving, carrying or pushing heavy objects, 75 lbs or more, only active time (e.g., desks, moving van work)</s:t>
  </s:si>
  <s:si>
    <s:t>11493</s:t>
  </s:si>
  <s:si>
    <s:t>Mining, general services, drilling, mining support jobs (mechanical, welding, pipe installation, general construction)</s:t>
  </s:si>
  <s:si>
    <s:t>11495</s:t>
  </s:si>
  <s:si>
    <s:t>Skindiving or SCUBA diving as a frogman, Navy Seal</s:t>
  </s:si>
  <s:si>
    <s:t>11500</s:t>
  </s:si>
  <s:si>
    <s:t>Operating heavy duty equipment, automated, not driving</s:t>
  </s:si>
  <s:si>
    <s:t>11510</s:t>
  </s:si>
  <s:si>
    <s:t>Orange grove work, picking fruit</s:t>
  </s:si>
  <s:si>
    <s:t>11514</s:t>
  </s:si>
  <s:si>
    <s:t>Painting, house, furniture, moderate effort</s:t>
  </s:si>
  <s:si>
    <s:t>11516</s:t>
  </s:si>
  <s:si>
    <s:t>Plumbing activities</s:t>
  </s:si>
  <s:si>
    <s:t>11520</s:t>
  </s:si>
  <s:si>
    <s:t>Printing, paper industry worker, standing</s:t>
  </s:si>
  <s:si>
    <s:t>11524</s:t>
  </s:si>
  <s:si>
    <s:t>Police Officer, Walking</s:t>
  </s:si>
  <s:si>
    <s:t>11525</s:t>
  </s:si>
  <s:si>
    <s:t>Police, directing traffic, standing</s:t>
  </s:si>
  <s:si>
    <s:t>11526</s:t>
  </s:si>
  <s:si>
    <s:t>Police, driving a squad car, sitting</s:t>
  </s:si>
  <s:si>
    <s:t>11527</s:t>
  </s:si>
  <s:si>
    <s:t>Police, riding in a squad car, sitting</s:t>
  </s:si>
  <s:si>
    <s:t>11528</s:t>
  </s:si>
  <s:si>
    <s:t>Police, making an arrest, standing</s:t>
  </s:si>
  <s:si>
    <s:t>11529</s:t>
  </s:si>
  <s:si>
    <s:t>Counter terrorism maneuvers, clearing building</s:t>
  </s:si>
  <s:si>
    <s:t>11530</s:t>
  </s:si>
  <s:si>
    <s:t>Shoe repair, general</s:t>
  </s:si>
  <s:si>
    <s:t>11540</s:t>
  </s:si>
  <s:si>
    <s:t>Shoveling, digging ditches</s:t>
  </s:si>
  <s:si>
    <s:t>11550</s:t>
  </s:si>
  <s:si>
    <s:t>Shoveling, more than 16 lbs/minute, deep digging, vigorous effort</s:t>
  </s:si>
  <s:si>
    <s:t>11560</s:t>
  </s:si>
  <s:si>
    <s:t>Shoveling, less than 10 lbs/minute, moderate effort</s:t>
  </s:si>
  <s:si>
    <s:t>11570</s:t>
  </s:si>
  <s:si>
    <s:t>Shoveling, 10 to 15 lbs/minute, vigorous effort</s:t>
  </s:si>
  <s:si>
    <s:t>11580</s:t>
  </s:si>
  <s:si>
    <s:t>Sitting tasks, light effort (e.g., office work, chemistry lab work, light assembly repair, watch repair, reading, desk work)</s:t>
  </s:si>
  <s:si>
    <s:t>11582</s:t>
  </s:si>
  <s:si>
    <s:t>Sitting, computer work</s:t>
  </s:si>
  <s:si>
    <s:t>11583</s:t>
  </s:si>
  <s:si>
    <s:t>Standing workstation, typing, computer work</s:t>
  </s:si>
  <s:si>
    <s:t>11585</s:t>
  </s:si>
  <s:si>
    <s:t>Sitting meetings, light effort, general, and/or with talking involved (e.g., eating at a business meeting)</s:t>
  </s:si>
  <s:si>
    <s:t>11590</s:t>
  </s:si>
  <s:si>
    <s:t>Sitting tasks, moderate effort (e.g. pushing heavy levers, riding mower/forklift, crane operation)</s:t>
  </s:si>
  <s:si>
    <s:t>11593</s:t>
  </s:si>
  <s:si>
    <s:t>Sitting, teaching stretching or yoga, or light effort exercise classes</s:t>
  </s:si>
  <s:si>
    <s:t>11600</s:t>
  </s:si>
  <s:si>
    <s:t>Standing tasks, light effort (e.g., bartending, store clerk, assembling, filing, duplicating, librarian, putting up a Christmas tree, standing and talking at work, changing clothes when teaching physical education)</s:t>
  </s:si>
  <s:si>
    <s:t>11610</s:t>
  </s:si>
  <s:si>
    <s:t>Standing, light/moderate effort (e.g., assemble/repair heavy parts, welding, stocking parts, auto repair, packing boxes, nursing patient care, laundry)</s:t>
  </s:si>
  <s:si>
    <s:t>11615</s:t>
  </s:si>
  <s:si>
    <s:t>Standing, moderate effort, lifting items continuously, 10 – 20 lbs, with limited walking or resting</s:t>
  </s:si>
  <s:si>
    <s:t>11620</s:t>
  </s:si>
  <s:si>
    <s:t>Standing, moderate effort, intermittent lifting 50 lbs, hitch or twisting ropes</s:t>
  </s:si>
  <s:si>
    <s:t>11630</s:t>
  </s:si>
  <s:si>
    <s:t>Standing, moderate/heavy tasks (e.g., lifting more than 50 lbs, masonry, painting, paper hanging)</s:t>
  </s:si>
  <s:si>
    <s:t>11650</s:t>
  </s:si>
  <s:si>
    <s:t>Patient care, healthcare activites</s:t>
  </s:si>
  <s:si>
    <s:t>11660</s:t>
  </s:si>
  <s:si>
    <s:t>Patient care, room cleaning/preperation</s:t>
  </s:si>
  <s:si>
    <s:t>11708</s:t>
  </s:si>
  <s:si>
    <s:t>Steel mill, moderate effort (e.g., fettling, forging, tipping molds)</s:t>
  </s:si>
  <s:si>
    <s:t>11710</s:t>
  </s:si>
  <s:si>
    <s:t>Steel mill, vigorous effort (e.g., hand rolling, merchant mill rolling, removing slag, tending furnace)</s:t>
  </s:si>
  <s:si>
    <s:t>11720</s:t>
  </s:si>
  <s:si>
    <s:t>Tailoring, cutting fabric</s:t>
  </s:si>
  <s:si>
    <s:t>11730</s:t>
  </s:si>
  <s:si>
    <s:t>Tailoring, general</s:t>
  </s:si>
  <s:si>
    <s:t>11740</s:t>
  </s:si>
  <s:si>
    <s:t>Tailoring, hand sewing</s:t>
  </s:si>
  <s:si>
    <s:t>11750</s:t>
  </s:si>
  <s:si>
    <s:t>Tailoring, machine sewing</s:t>
  </s:si>
  <s:si>
    <s:t>11760</s:t>
  </s:si>
  <s:si>
    <s:t>Tailoring, pressing</s:t>
  </s:si>
  <s:si>
    <s:t>11763</s:t>
  </s:si>
  <s:si>
    <s:t>Tailoring, weaving, light effort (e.g., finishing operations, washing, dyeing, inspecting cloth, counting yards, paperwork)</s:t>
  </s:si>
  <s:si>
    <s:t>11765</s:t>
  </s:si>
  <s:si>
    <s:t>Tailoring, weaving, moderate effort (e.g., spinning and weaving operations, delivering boxes of yarn to spinners, loading of warp bean, pinwinding, conewinding, warping, cloth clutting)</s:t>
  </s:si>
  <s:si>
    <s:t>11766</s:t>
  </s:si>
  <s:si>
    <s:t>Truck driving, loading and unloading truck, tying down load, standing, walking and carrying heavy loads</s:t>
  </s:si>
  <s:si>
    <s:t>11767</s:t>
  </s:si>
  <s:si>
    <s:t>Truck driving, delivery truck, taxi, shuttlebus, school bus</s:t>
  </s:si>
  <s:si>
    <s:t>11770</s:t>
  </s:si>
  <s:si>
    <s:t>Typing, electric, manual or computer</s:t>
  </s:si>
  <s:si>
    <s:t>11780</s:t>
  </s:si>
  <s:si>
    <s:t>Using heavy power tools such as pneumatic tools (e.g., jackhammers, drills, etc.)</s:t>
  </s:si>
  <s:si>
    <s:t>11790</s:t>
  </s:si>
  <s:si>
    <s:t>Using heavy tools (not power) such as shovel, pick, tunnel bar, spade</s:t>
  </s:si>
  <s:si>
    <s:t>11791</s:t>
  </s:si>
  <s:si>
    <s:t>Walking on job, less than 2.0 mph, very slow speed, in office or lab area</s:t>
  </s:si>
  <s:si>
    <s:t>11792</s:t>
  </s:si>
  <s:si>
    <s:t>Walking on job, 2.8 to 3.4 mph, in office, moderate speed, not carrying anything</s:t>
  </s:si>
  <s:si>
    <s:t>11793</s:t>
  </s:si>
  <s:si>
    <s:t>Walking on job, 3.5 to 3.9 mph, in office, brisk speed, not carrying anything</s:t>
  </s:si>
  <s:si>
    <s:t>11795</s:t>
  </s:si>
  <s:si>
    <s:t>Walking on job, 2.5 mph, slow speed, carrying light objects less than 25 lbs</s:t>
  </s:si>
  <s:si>
    <s:t>11796</s:t>
  </s:si>
  <s:si>
    <s:t>Walking, gathering things at work, ready to leave</s:t>
  </s:si>
  <s:si>
    <s:t>11797</s:t>
  </s:si>
  <s:si>
    <s:t>Walking, 2.5 mph, slow speed, carrying heavy objects more than 25 lbs</s:t>
  </s:si>
  <s:si>
    <s:t>11800</s:t>
  </s:si>
  <s:si>
    <s:t>Walking, 3.0 mph, moderately and carrying light objects less than 25 lbs</s:t>
  </s:si>
  <s:si>
    <s:t>11805</s:t>
  </s:si>
  <s:si>
    <s:t>Walking, pushing a wheelchair</s:t>
  </s:si>
  <s:si>
    <s:t>11810</s:t>
  </s:si>
  <s:si>
    <s:t>Walking, 3.5 mph, briskly and carrying objects less than 25 lbs</s:t>
  </s:si>
  <s:si>
    <s:t>11820</s:t>
  </s:si>
  <s:si>
    <s:t>Walking or walk downstairs or standing, carrying objects about 25 to 49 lbs</s:t>
  </s:si>
  <s:si>
    <s:t>11830</s:t>
  </s:si>
  <s:si>
    <s:t>Walking or walk downstairs or standing, carrying objects about 50 to 74 lbs</s:t>
  </s:si>
  <s:si>
    <s:t>11840</s:t>
  </s:si>
  <s:si>
    <s:t>Walking or walk downstairs or standing, carrying objects about 75 to 99 lbs</s:t>
  </s:si>
  <s:si>
    <s:t>11850</s:t>
  </s:si>
  <s:si>
    <s:t>Walking or walk downstairs or standing, carrying objects about 100 lbs or more</s:t>
  </s:si>
  <s:si>
    <s:t>11860</s:t>
  </s:si>
  <s:si>
    <s:t>Warehouse/Shipping Center, Loading/Unloading boxes</s:t>
  </s:si>
  <s:si>
    <s:t>11862</s:t>
  </s:si>
  <s:si>
    <s:t>Warehouse/Shipping Center, Moving boxes (~5kg)</s:t>
  </s:si>
  <s:si>
    <s:t>11870</s:t>
  </s:si>
  <s:si>
    <s:t>Working in scene shop, theater actor, backstage employee</s:t>
  </s:si>
  <s:si>
    <s:t>11880</s:t>
  </s:si>
  <s:si>
    <s:t>Soldiers, military marching, unloaded 1.5-2.5 mph</s:t>
  </s:si>
  <s:si>
    <s:t>11882</s:t>
  </s:si>
  <s:si>
    <s:t>Soldiers, military marching, 1.5-2.5 mph, 10 to 30 kg load</s:t>
  </s:si>
  <s:si>
    <s:t>11884</s:t>
  </s:si>
  <s:si>
    <s:t>Airborne Shuffle, 2.5 to 3.5 mph, 20-30 kg load</s:t>
  </s:si>
  <s:si>
    <s:t>11886</s:t>
  </s:si>
  <s:si>
    <s:t>Soldiers, military loaded marching, varying terrain, 25-40 kg load</s:t>
  </s:si>
  <s:si>
    <s:t>11887</s:t>
  </s:si>
  <s:si>
    <s:t>Soldiers, walking, 2.8 mph, 5% grade, up to 21.5 kg load</s:t>
  </s:si>
  <s:si>
    <s:t>11888</s:t>
  </s:si>
  <s:si>
    <s:t>Soldiers, walking, 2.8 mph, 10% grade, up to 21.5 kg load</s:t>
  </s:si>
  <s:si>
    <s:t>11889</s:t>
  </s:si>
  <s:si>
    <s:t>Soldiers, walking, 2.8 mph, 15% grade, up to 21.5 kg load</s:t>
  </s:si>
  <s:si>
    <s:t>11892</s:t>
  </s:si>
  <s:si>
    <s:t>Military activities, arterial field preparation, digging defensive positions</s:t>
  </s:si>
  <s:si>
    <s:t>Running</s:t>
  </s:si>
  <s:si>
    <s:t>12010</s:t>
  </s:si>
  <s:si>
    <s:t>Jog/walk combination (jogging component of less than 10 minutes) (Taylor Code 180)</s:t>
  </s:si>
  <s:si>
    <s:t>12020</s:t>
  </s:si>
  <s:si>
    <s:t>Jogging, general, self-selected pace</s:t>
  </s:si>
  <s:si>
    <s:t>12025</s:t>
  </s:si>
  <s:si>
    <s:t>Jogging, in place</s:t>
  </s:si>
  <s:si>
    <s:t>12026</s:t>
  </s:si>
  <s:si>
    <s:t>Jogging 2.6 to 3.7 mph</s:t>
  </s:si>
  <s:si>
    <s:t>12027</s:t>
  </s:si>
  <s:si>
    <s:t>Jogging on a mini-tramp</s:t>
  </s:si>
  <s:si>
    <s:t>12028</s:t>
  </s:si>
  <s:si>
    <s:t>Running, 4 to 4.2 mph (13 min/mile)</s:t>
  </s:si>
  <s:si>
    <s:t>12029</s:t>
  </s:si>
  <s:si>
    <s:t>Running 4.3 to 4.8 mph</s:t>
  </s:si>
  <s:si>
    <s:t>12030</s:t>
  </s:si>
  <s:si>
    <s:t>Running, 5.0 to 5.2 mph (12 min/mile)</s:t>
  </s:si>
  <s:si>
    <s:t>12045</s:t>
  </s:si>
  <s:si>
    <s:t>Running, 5.5 -5.8 mph</s:t>
  </s:si>
  <s:si>
    <s:t>12050</s:t>
  </s:si>
  <s:si>
    <s:t>Running, 6-6.3 mph (10 min/mile)</s:t>
  </s:si>
  <s:si>
    <s:t>12060</s:t>
  </s:si>
  <s:si>
    <s:t>Running, 6.7 mph (9 min/mile)</s:t>
  </s:si>
  <s:si>
    <s:t>12070</s:t>
  </s:si>
  <s:si>
    <s:t>Running, 7 mph (8.5 min/mile)</s:t>
  </s:si>
  <s:si>
    <s:t>12080</s:t>
  </s:si>
  <s:si>
    <s:t>Running, 7.5 mph (8 min/mile)</s:t>
  </s:si>
  <s:si>
    <s:t>12090</s:t>
  </s:si>
  <s:si>
    <s:t>Running, 8 mph (7.5 min/mile)</s:t>
  </s:si>
  <s:si>
    <s:t>12100</s:t>
  </s:si>
  <s:si>
    <s:t>Running, 8.6 mph (7 min/mile)</s:t>
  </s:si>
  <s:si>
    <s:t>12110</s:t>
  </s:si>
  <s:si>
    <s:t>Running, 9 mph (6.5 min/mile)</s:t>
  </s:si>
  <s:si>
    <s:t>12115</s:t>
  </s:si>
  <s:si>
    <s:t>Running, 9.3 to 9.6 mph</s:t>
  </s:si>
  <s:si>
    <s:t>12120</s:t>
  </s:si>
  <s:si>
    <s:t>Running, 10 mph (6 min/mile)</s:t>
  </s:si>
  <s:si>
    <s:t>12130</s:t>
  </s:si>
  <s:si>
    <s:t>Running, 11 mph (5.5 min/mile)</s:t>
  </s:si>
  <s:si>
    <s:t>12132</s:t>
  </s:si>
  <s:si>
    <s:t>Running, 12 mph (5.0 min/mile)</s:t>
  </s:si>
  <s:si>
    <s:t>12134</s:t>
  </s:si>
  <s:si>
    <s:t>Running, 13 mph (4.6 min/mile)</s:t>
  </s:si>
  <s:si>
    <s:t>12135</s:t>
  </s:si>
  <s:si>
    <s:t>Running, 14 mph (4.3 min/mile)</s:t>
  </s:si>
  <s:si>
    <s:t>12140</s:t>
  </s:si>
  <s:si>
    <s:t>Running, cross country</s:t>
  </s:si>
  <s:si>
    <s:t>12145</s:t>
  </s:si>
  <s:si>
    <s:t>Running, self-selected pace</s:t>
  </s:si>
  <s:si>
    <s:t>12150</s:t>
  </s:si>
  <s:si>
    <s:t>Running (Taylor Code 200)</s:t>
  </s:si>
  <s:si>
    <s:t>12170</s:t>
  </s:si>
  <s:si>
    <s:t>Running, stairs, up</s:t>
  </s:si>
  <s:si>
    <s:t>12180</s:t>
  </s:si>
  <s:si>
    <s:t>Running, on a track, team practice</s:t>
  </s:si>
  <s:si>
    <s:t>12184</s:t>
  </s:si>
  <s:si>
    <s:t>Running, on track, 500-1500m, competitive</s:t>
  </s:si>
  <s:si>
    <s:t>12186</s:t>
  </s:si>
  <s:si>
    <s:t>Running, on track, 2000-3000m, competitive</s:t>
  </s:si>
  <s:si>
    <s:t>12190</s:t>
  </s:si>
  <s:si>
    <s:t>Running, training, pushing a wheelchair or baby carrier</s:t>
  </s:si>
  <s:si>
    <s:t>12200</s:t>
  </s:si>
  <s:si>
    <s:t>Running, marathon</s:t>
  </s:si>
  <s:si>
    <s:t>12255</s:t>
  </s:si>
  <s:si>
    <s:t>Running uphill, 4.5mph, 5% incline</s:t>
  </s:si>
  <s:si>
    <s:t>12260</s:t>
  </s:si>
  <s:si>
    <s:t>Running uphill, 6.0 mph, 5% incline</s:t>
  </s:si>
  <s:si>
    <s:t>12265</s:t>
  </s:si>
  <s:si>
    <s:t>Running uphill, 7.0 mph, 5% incline</s:t>
  </s:si>
  <s:si>
    <s:t>12325</s:t>
  </s:si>
  <s:si>
    <s:t>Running uphill, 5.0 to 5.9 mph, 15% incline</s:t>
  </s:si>
  <s:si>
    <s:t>12335</s:t>
  </s:si>
  <s:si>
    <s:t>Running uphill, 0.6 to 0.79 mph, 30% incline</s:t>
  </s:si>
  <s:si>
    <s:t>12337</s:t>
  </s:si>
  <s:si>
    <s:t>Running uphill, 0.8 to 0.99 mph, 30% incline</s:t>
  </s:si>
  <s:si>
    <s:t>12339</s:t>
  </s:si>
  <s:si>
    <s:t>Running uphill, 1.0 to 1.19 mph, 30% incline</s:t>
  </s:si>
  <s:si>
    <s:t>12341</s:t>
  </s:si>
  <s:si>
    <s:t>Running uphill, 1.2 to 1.39 mph, 30-40% incline</s:t>
  </s:si>
  <s:si>
    <s:t>12343</s:t>
  </s:si>
  <s:si>
    <s:t>Running uphill, 1.4 to 1.59 mph, 30% incline</s:t>
  </s:si>
  <s:si>
    <s:t>12345</s:t>
  </s:si>
  <s:si>
    <s:t>Running uphill, &gt;1.6mph, 10-30% incline</s:t>
  </s:si>
  <s:si>
    <s:t>12350</s:t>
  </s:si>
  <s:si>
    <s:t>Running, hilly terrain, ±100m change in elevation</s:t>
  </s:si>
  <s:si>
    <s:t>12352</s:t>
  </s:si>
  <s:si>
    <s:t>Running downhill, 5.0 to 5.9 mph, -10% to -15%</s:t>
  </s:si>
  <s:si>
    <s:t>12353</s:t>
  </s:si>
  <s:si>
    <s:t>Running downhill, 6.0 to 6.9 mph, -10% to -15%</s:t>
  </s:si>
  <s:si>
    <s:t>12355</s:t>
  </s:si>
  <s:si>
    <s:t>Running downhill, 7.0 to 8.9 mph, -10% to -15%</s:t>
  </s:si>
  <s:si>
    <s:t>12358</s:t>
  </s:si>
  <s:si>
    <s:t>Running downhill, 6.0 to 7.9 mph, -3% to -9%</s:t>
  </s:si>
  <s:si>
    <s:t>12361</s:t>
  </s:si>
  <s:si>
    <s:t>Running downhill, 8.0 to 10.5 mph, -3% to -9%</s:t>
  </s:si>
  <s:si>
    <s:t>12405</s:t>
  </s:si>
  <s:si>
    <s:t>Running/jogging, curved treadmill, 3.0 to 3.9 mph</s:t>
  </s:si>
  <s:si>
    <s:t>12408</s:t>
  </s:si>
  <s:si>
    <s:t>Running/jogging, curved treadmill, 4.0 to 4.9 mph</s:t>
  </s:si>
  <s:si>
    <s:t>12410</s:t>
  </s:si>
  <s:si>
    <s:t>Running curved treadmill, 5.0 to 5.9 mph</s:t>
  </s:si>
  <s:si>
    <s:t>12412</s:t>
  </s:si>
  <s:si>
    <s:t>Running curved treadmill, 7.0 to 7.9 mph</s:t>
  </s:si>
  <s:si>
    <s:t>12414</s:t>
  </s:si>
  <s:si>
    <s:t>Running curved treadmill, 8.0 to 8.9 mph</s:t>
  </s:si>
  <s:si>
    <s:t>12416</s:t>
  </s:si>
  <s:si>
    <s:t>Running curved treadmill, 9.0 to 9.9 mph</s:t>
  </s:si>
  <s:si>
    <s:t>12508</s:t>
  </s:si>
  <s:si>
    <s:t>Running, 5.0 - 5.9 mph, 1.0 to 3.0 kg backpack</s:t>
  </s:si>
  <s:si>
    <s:t>12510</s:t>
  </s:si>
  <s:si>
    <s:t>Running, 6.0 - 6.9 mph, 1.0 to 3.0 kg backpack</s:t>
  </s:si>
  <s:si>
    <s:t>12512</s:t>
  </s:si>
  <s:si>
    <s:t>Running, 7.0 - 7.9 mph, 1.0 to 3.0 kg backpack</s:t>
  </s:si>
  <s:si>
    <s:t>12514</s:t>
  </s:si>
  <s:si>
    <s:t>Running, 8.0 - 8.9 mph, 1.0 to 3.0 kg backpack</s:t>
  </s:si>
  <s:si>
    <s:t>12555</s:t>
  </s:si>
  <s:si>
    <s:t>Running, barefoot, 3.5-5.9 mph</s:t>
  </s:si>
  <s:si>
    <s:t>12560</s:t>
  </s:si>
  <s:si>
    <s:t>Running, barefoot, 6.0-7.9 mph</s:t>
  </s:si>
  <s:si>
    <s:t>12565</s:t>
  </s:si>
  <s:si>
    <s:t>Running, barefoot, 8.0-8.9 mph</s:t>
  </s:si>
  <s:si>
    <s:t>12585</s:t>
  </s:si>
  <s:si>
    <s:t>Running, jogging stroller, indoors, 5 mph</s:t>
  </s:si>
  <s:si>
    <s:t>12588</s:t>
  </s:si>
  <s:si>
    <s:t>Running, jogging stroller, indoors, 6 mph</s:t>
  </s:si>
  <s:si>
    <s:t>12593</s:t>
  </s:si>
  <s:si>
    <s:t>Running, jogging stroller, outdoors, 5 mph</s:t>
  </s:si>
  <s:si>
    <s:t>12595</s:t>
  </s:si>
  <s:si>
    <s:t>Running, jogging stroller, outdoors, 6 mph</s:t>
  </s:si>
  <s:si>
    <s:t>12600</s:t>
  </s:si>
  <s:si>
    <s:t>Skipping, 5.5-6.0 mph</s:t>
  </s:si>
  <s:si>
    <s:t>12620</s:t>
  </s:si>
  <s:si>
    <s:t>Triathlon, Running</s:t>
  </s:si>
  <s:si>
    <s:t>Self Care</s:t>
  </s:si>
  <s:si>
    <s:t>13000</s:t>
  </s:si>
  <s:si>
    <s:t>Getting ready for bed, general, standing</s:t>
  </s:si>
  <s:si>
    <s:t>13009</s:t>
  </s:si>
  <s:si>
    <s:t>Sitting on toilet, eliminating while standing or squatting</s:t>
  </s:si>
  <s:si>
    <s:t>13010</s:t>
  </s:si>
  <s:si>
    <s:t>Bathing, sitting</s:t>
  </s:si>
  <s:si>
    <s:t>13020</s:t>
  </s:si>
  <s:si>
    <s:t>Dressing, undressing, standing or sitting</s:t>
  </s:si>
  <s:si>
    <s:t>13030</s:t>
  </s:si>
  <s:si>
    <s:t>Eating, sitting</s:t>
  </s:si>
  <s:si>
    <s:t>13035</s:t>
  </s:si>
  <s:si>
    <s:t>Talking and eating or eating only, standing</s:t>
  </s:si>
  <s:si>
    <s:t>13036</s:t>
  </s:si>
  <s:si>
    <s:t>Taking medication, sitting or standing</s:t>
  </s:si>
  <s:si>
    <s:t>13040</s:t>
  </s:si>
  <s:si>
    <s:t>Grooming, washing hands, shaving, brushing teeth, putting on make-up, sitting or standing</s:t>
  </s:si>
  <s:si>
    <s:t>13045</s:t>
  </s:si>
  <s:si>
    <s:t>Hairstyling, standing</s:t>
  </s:si>
  <s:si>
    <s:t>13046</s:t>
  </s:si>
  <s:si>
    <s:t>Having hair or nails done by someone else, sitting</s:t>
  </s:si>
  <s:si>
    <s:t>13050</s:t>
  </s:si>
  <s:si>
    <s:t>Showering, toweling off, standing</s:t>
  </s:si>
  <s:si>
    <s:t>Sexual Activity</s:t>
  </s:si>
  <s:si>
    <s:t>14010</s:t>
  </s:si>
  <s:si>
    <s:t>Active, vigorous effort</s:t>
  </s:si>
  <s:si>
    <s:t>14020</s:t>
  </s:si>
  <s:si>
    <s:t>General, moderate effort</s:t>
  </s:si>
  <s:si>
    <s:t>14030</s:t>
  </s:si>
  <s:si>
    <s:t>Passive, light effort, kissing, hugging</s:t>
  </s:si>
  <s:si>
    <s:t>Sports</s:t>
  </s:si>
  <s:si>
    <s:t>15000</s:t>
  </s:si>
  <s:si>
    <s:t>Alaska Native Games, Eskimo Olympics, general</s:t>
  </s:si>
  <s:si>
    <s:t>15010</s:t>
  </s:si>
  <s:si>
    <s:t>Archery (non-hunting)</s:t>
  </s:si>
  <s:si>
    <s:t>15020</s:t>
  </s:si>
  <s:si>
    <s:t>Badminton, competitive (Taylor Code 450)</s:t>
  </s:si>
  <s:si>
    <s:t>15025</s:t>
  </s:si>
  <s:si>
    <s:t>Badminton, competitive, match play</s:t>
  </s:si>
  <s:si>
    <s:t>15030</s:t>
  </s:si>
  <s:si>
    <s:t>Badminton, social singles and doubles, general</s:t>
  </s:si>
  <s:si>
    <s:t>15040</s:t>
  </s:si>
  <s:si>
    <s:t>Basketball, game (Taylor Code 490)</s:t>
  </s:si>
  <s:si>
    <s:t>15050</s:t>
  </s:si>
  <s:si>
    <s:t>Basketball, non-game, general (Taylor Code 480)</s:t>
  </s:si>
  <s:si>
    <s:t>15055</s:t>
  </s:si>
  <s:si>
    <s:t>Basketball, general</s:t>
  </s:si>
  <s:si>
    <s:t>15060</s:t>
  </s:si>
  <s:si>
    <s:t>Basketball, officiating (Taylor Code 500)</s:t>
  </s:si>
  <s:si>
    <s:t>15062</s:t>
  </s:si>
  <s:si>
    <s:t>Basketball, officiating</s:t>
  </s:si>
  <s:si>
    <s:t>15070</s:t>
  </s:si>
  <s:si>
    <s:t>Basketball, shooting baskets</s:t>
  </s:si>
  <s:si>
    <s:t>15072</s:t>
  </s:si>
  <s:si>
    <s:t>Basketball, drills, practice</s:t>
  </s:si>
  <s:si>
    <s:t>15080</s:t>
  </s:si>
  <s:si>
    <s:t>Billiards</s:t>
  </s:si>
  <s:si>
    <s:t>15090</s:t>
  </s:si>
  <s:si>
    <s:t>Bowling (Taylor Code 390)</s:t>
  </s:si>
  <s:si>
    <s:t>15092</s:t>
  </s:si>
  <s:si>
    <s:t>Bowling, indoor, bowling alley</s:t>
  </s:si>
  <s:si>
    <s:t>15100</s:t>
  </s:si>
  <s:si>
    <s:t>Boxing, in ring, general</s:t>
  </s:si>
  <s:si>
    <s:t>15110</s:t>
  </s:si>
  <s:si>
    <s:t>Boxing, punching bag</s:t>
  </s:si>
  <s:si>
    <s:t>15113</s:t>
  </s:si>
  <s:si>
    <s:t>Boxing, punching bag, 60 b/min</s:t>
  </s:si>
  <s:si>
    <s:t>15115</s:t>
  </s:si>
  <s:si>
    <s:t>Boxing, punching bag, 120 b/min</s:t>
  </s:si>
  <s:si>
    <s:t>15118</s:t>
  </s:si>
  <s:si>
    <s:t>Boxing, punching bag, 180 b/min</s:t>
  </s:si>
  <s:si>
    <s:t>15120</s:t>
  </s:si>
  <s:si>
    <s:t>Boxing, sparring</s:t>
  </s:si>
  <s:si>
    <s:t>15125</s:t>
  </s:si>
  <s:si>
    <s:t>Boxing, simulated boxing round, exercise</s:t>
  </s:si>
  <s:si>
    <s:t>15130</s:t>
  </s:si>
  <s:si>
    <s:t>Broomball</s:t>
  </s:si>
  <s:si>
    <s:t>15135</s:t>
  </s:si>
  <s:si>
    <s:t>Children’s games, adults playing (e.g., hopscotch, 4-square, dodge ball, playground apparatus, t-ball, tetherball, marbles, jacks, arcade games), moderate effort</s:t>
  </s:si>
  <s:si>
    <s:t>15138</s:t>
  </s:si>
  <s:si>
    <s:t>Cheerleading, gymnastic moves, competitive</s:t>
  </s:si>
  <s:si>
    <s:t>15140</s:t>
  </s:si>
  <s:si>
    <s:t>Coaching, football, soccer, basketball, baseball, swimming, etc.</s:t>
  </s:si>
  <s:si>
    <s:t>15142</s:t>
  </s:si>
  <s:si>
    <s:t>Coaching, actively playing sport with players</s:t>
  </s:si>
  <s:si>
    <s:t>15150</s:t>
  </s:si>
  <s:si>
    <s:t>Cricket, batting, bowling, fielding</s:t>
  </s:si>
  <s:si>
    <s:t>15160</s:t>
  </s:si>
  <s:si>
    <s:t>Croquet</s:t>
  </s:si>
  <s:si>
    <s:t>15170</s:t>
  </s:si>
  <s:si>
    <s:t>Curling</s:t>
  </s:si>
  <s:si>
    <s:t>15180</s:t>
  </s:si>
  <s:si>
    <s:t>Darts, wall or lawn</s:t>
  </s:si>
  <s:si>
    <s:t>15190</s:t>
  </s:si>
  <s:si>
    <s:t>Drag racing, pushing or driving a car</s:t>
  </s:si>
  <s:si>
    <s:t>15192</s:t>
  </s:si>
  <s:si>
    <s:t>Auto racing, open wheel</s:t>
  </s:si>
  <s:si>
    <s:t>15195</s:t>
  </s:si>
  <s:si>
    <s:t>Futsal</s:t>
  </s:si>
  <s:si>
    <s:t>15200</s:t>
  </s:si>
  <s:si>
    <s:t>Fencing, general</s:t>
  </s:si>
  <s:si>
    <s:t>15203</s:t>
  </s:si>
  <s:si>
    <s:t>Fencing, epee, competitive</s:t>
  </s:si>
  <s:si>
    <s:t>15205</s:t>
  </s:si>
  <s:si>
    <s:t>Floorball</s:t>
  </s:si>
  <s:si>
    <s:t>15210</s:t>
  </s:si>
  <s:si>
    <s:t>Football, competitive</s:t>
  </s:si>
  <s:si>
    <s:t>15230</s:t>
  </s:si>
  <s:si>
    <s:t>Football, touch, flag, general (Taylor Code 510)</s:t>
  </s:si>
  <s:si>
    <s:t>15232</s:t>
  </s:si>
  <s:si>
    <s:t>Football, touch, flag, light effort</s:t>
  </s:si>
  <s:si>
    <s:t>15235</s:t>
  </s:si>
  <s:si>
    <s:t>Football or baseball, playing catch</s:t>
  </s:si>
  <s:si>
    <s:t>15240</s:t>
  </s:si>
  <s:si>
    <s:t>Frisbee playing, general</s:t>
  </s:si>
  <s:si>
    <s:t>15250</s:t>
  </s:si>
  <s:si>
    <s:t>Frisbee, ultimate</s:t>
  </s:si>
  <s:si>
    <s:t>15252</s:t>
  </s:si>
  <s:si>
    <s:t>Frisbee golf</s:t>
  </s:si>
  <s:si>
    <s:t>15255</s:t>
  </s:si>
  <s:si>
    <s:t>Golf, general</s:t>
  </s:si>
  <s:si>
    <s:t>15265</s:t>
  </s:si>
  <s:si>
    <s:t>Golf, walking, carrying clubs</s:t>
  </s:si>
  <s:si>
    <s:t>15270</s:t>
  </s:si>
  <s:si>
    <s:t>Golf, miniature, driving range</s:t>
  </s:si>
  <s:si>
    <s:t>15285</s:t>
  </s:si>
  <s:si>
    <s:t>Golf, walking, pulling clubs</s:t>
  </s:si>
  <s:si>
    <s:t>15290</s:t>
  </s:si>
  <s:si>
    <s:t>Golf, using power cart (Taylor Code 070)</s:t>
  </s:si>
  <s:si>
    <s:t>15300</s:t>
  </s:si>
  <s:si>
    <s:t>Gymnastics, general</s:t>
  </s:si>
  <s:si>
    <s:t>15310</s:t>
  </s:si>
  <s:si>
    <s:t>Hacky sack</s:t>
  </s:si>
  <s:si>
    <s:t>15320</s:t>
  </s:si>
  <s:si>
    <s:t>Handball, general (Taylor Code 520)</s:t>
  </s:si>
  <s:si>
    <s:t>15330</s:t>
  </s:si>
  <s:si>
    <s:t>Handball, team</s:t>
  </s:si>
  <s:si>
    <s:t>15335</s:t>
  </s:si>
  <s:si>
    <s:t>High ropes course, multiple elements</s:t>
  </s:si>
  <s:si>
    <s:t>15340</s:t>
  </s:si>
  <s:si>
    <s:t>Hang gliding</s:t>
  </s:si>
  <s:si>
    <s:t>15350</s:t>
  </s:si>
  <s:si>
    <s:t>Hockey, field</s:t>
  </s:si>
  <s:si>
    <s:t>15360</s:t>
  </s:si>
  <s:si>
    <s:t>Hockey, ice, general</s:t>
  </s:si>
  <s:si>
    <s:t>15362</s:t>
  </s:si>
  <s:si>
    <s:t>Hockey, ice, competitive</s:t>
  </s:si>
  <s:si>
    <s:t>15370</s:t>
  </s:si>
  <s:si>
    <s:t>Horseback riding, general</s:t>
  </s:si>
  <s:si>
    <s:t>15380</s:t>
  </s:si>
  <s:si>
    <s:t>Horse grooming, maintenance, saddling tasks</s:t>
  </s:si>
  <s:si>
    <s:t>15390</s:t>
  </s:si>
  <s:si>
    <s:t>Horseback riding, trotting</s:t>
  </s:si>
  <s:si>
    <s:t>15395</s:t>
  </s:si>
  <s:si>
    <s:t>Horseback riding, canter or gallop</s:t>
  </s:si>
  <s:si>
    <s:t>15400</s:t>
  </s:si>
  <s:si>
    <s:t>Horseback riding, walking</s:t>
  </s:si>
  <s:si>
    <s:t>15402</s:t>
  </s:si>
  <s:si>
    <s:t>Horseback riding, jumping</s:t>
  </s:si>
  <s:si>
    <s:t>15403</s:t>
  </s:si>
  <s:si>
    <s:t>Horseback riding, reining</s:t>
  </s:si>
  <s:si>
    <s:t>15406</s:t>
  </s:si>
  <s:si>
    <s:t>Horseback riding, simulator</s:t>
  </s:si>
  <s:si>
    <s:t>15408</s:t>
  </s:si>
  <s:si>
    <s:t>Horse cart, driving, standing or sitting</s:t>
  </s:si>
  <s:si>
    <s:t>15410</s:t>
  </s:si>
  <s:si>
    <s:t>Horseshoe pitching, quoits</s:t>
  </s:si>
  <s:si>
    <s:t>15420</s:t>
  </s:si>
  <s:si>
    <s:t>Jai alai</s:t>
  </s:si>
  <s:si>
    <s:t>15425</s:t>
  </s:si>
  <s:si>
    <s:t>Martial Arts, different types, slower pace, novice performers, practice</s:t>
  </s:si>
  <s:si>
    <s:t>15430</s:t>
  </s:si>
  <s:si>
    <s:t>Martial Arts, different types, moderate pace (e.g., judo, jujitsu, karate, kick boxing, tae kwon do, tai-bo, Muay Thai boxing)</s:t>
  </s:si>
  <s:si>
    <s:t>15432</s:t>
  </s:si>
  <s:si>
    <s:t>Taekwondo, combat simulation</s:t>
  </s:si>
  <s:si>
    <s:t>15433</s:t>
  </s:si>
  <s:si>
    <s:t>Judo</s:t>
  </s:si>
  <s:si>
    <s:t>15440</s:t>
  </s:si>
  <s:si>
    <s:t>Juggling</s:t>
  </s:si>
  <s:si>
    <s:t>15444</s:t>
  </s:si>
  <s:si>
    <s:t>Kendo, kihon-keiko style, moderate intensity</s:t>
  </s:si>
  <s:si>
    <s:t>15445</s:t>
  </s:si>
  <s:si>
    <s:t>Kendo, kirikaeshi style, high intensity</s:t>
  </s:si>
  <s:si>
    <s:t>15446</s:t>
  </s:si>
  <s:si>
    <s:t>Kendo, kakari keiko style, very high intensity</s:t>
  </s:si>
  <s:si>
    <s:t>15450</s:t>
  </s:si>
  <s:si>
    <s:t>Kickball</s:t>
  </s:si>
  <s:si>
    <s:t>15455</s:t>
  </s:si>
  <s:si>
    <s:t>Kung Fu Gymnastics</s:t>
  </s:si>
  <s:si>
    <s:t>15457</s:t>
  </s:si>
  <s:si>
    <s:t>Kickboxing</s:t>
  </s:si>
  <s:si>
    <s:t>15460</s:t>
  </s:si>
  <s:si>
    <s:t>Lacrosse</s:t>
  </s:si>
  <s:si>
    <s:t>15465</s:t>
  </s:si>
  <s:si>
    <s:t>Lawn bowling, bocce ball, outdoor</s:t>
  </s:si>
  <s:si>
    <s:t>15470</s:t>
  </s:si>
  <s:si>
    <s:t>Motocross, off-road motor sports, all-terrain vehicle, general</s:t>
  </s:si>
  <s:si>
    <s:t>15475</s:t>
  </s:si>
  <s:si>
    <s:t>Motorcycle racing, Supormoto racing</s:t>
  </s:si>
  <s:si>
    <s:t>15477</s:t>
  </s:si>
  <s:si>
    <s:t>Netball</s:t>
  </s:si>
  <s:si>
    <s:t>15480</s:t>
  </s:si>
  <s:si>
    <s:t>Orienteering</s:t>
  </s:si>
  <s:si>
    <s:t>15490</s:t>
  </s:si>
  <s:si>
    <s:t>Paddleball, competitive</s:t>
  </s:si>
  <s:si>
    <s:t>15500</s:t>
  </s:si>
  <s:si>
    <s:t>Paddleball, casual, general (Taylor Code 460)</s:t>
  </s:si>
  <s:si>
    <s:t>15503</s:t>
  </s:si>
  <s:si>
    <s:t>Paragliding, moderate altitude</s:t>
  </s:si>
  <s:si>
    <s:t>15506</s:t>
  </s:si>
  <s:si>
    <s:t>Prusik climbing</s:t>
  </s:si>
  <s:si>
    <s:t>15510</s:t>
  </s:si>
  <s:si>
    <s:t>Polo, on horseback</s:t>
  </s:si>
  <s:si>
    <s:t>15520</s:t>
  </s:si>
  <s:si>
    <s:t>Racquetball, competitive</s:t>
  </s:si>
  <s:si>
    <s:t>15525</s:t>
  </s:si>
  <s:si>
    <s:t>Race Walking, 3.1 m/s (6.9 mph)</s:t>
  </s:si>
  <s:si>
    <s:t>15527</s:t>
  </s:si>
  <s:si>
    <s:t>Race Walking, 3.7 m/s (8.3 mph)</s:t>
  </s:si>
  <s:si>
    <s:t>15528</s:t>
  </s:si>
  <s:si>
    <s:t>Race Walking, racing speed, 4.0 m/s (8.95 mph)</s:t>
  </s:si>
  <s:si>
    <s:t>15530</s:t>
  </s:si>
  <s:si>
    <s:t>Racquetball, general (Taylor Code 470)</s:t>
  </s:si>
  <s:si>
    <s:t>15533</s:t>
  </s:si>
  <s:si>
    <s:t>Rock or mountain climbing (Taylor Code 060), (formerly code 17120)</s:t>
  </s:si>
  <s:si>
    <s:t>15534</s:t>
  </s:si>
  <s:si>
    <s:t>Rock climbing, free boulder</s:t>
  </s:si>
  <s:si>
    <s:t>15535</s:t>
  </s:si>
  <s:si>
    <s:t>Rock climbing, ascending rock, high difficulty</s:t>
  </s:si>
  <s:si>
    <s:t>15536</s:t>
  </s:si>
  <s:si>
    <s:t>Rock climbing, speed climbing, very difficult</s:t>
  </s:si>
  <s:si>
    <s:t>15537</s:t>
  </s:si>
  <s:si>
    <s:t>Rock climbing, ascending or traversing rock, low-to-moderate difficulty</s:t>
  </s:si>
  <s:si>
    <s:t>15538</s:t>
  </s:si>
  <s:si>
    <s:t>Rock climbing, treadwall, 4-6 m/min</s:t>
  </s:si>
  <s:si>
    <s:t>15539</s:t>
  </s:si>
  <s:si>
    <s:t>Rock climbing, treadwall, 7-10 m/min</s:t>
  </s:si>
  <s:si>
    <s:t>15540</s:t>
  </s:si>
  <s:si>
    <s:t>Rock climbing, rappelling,</s:t>
  </s:si>
  <s:si>
    <s:t>15542</s:t>
  </s:si>
  <s:si>
    <s:t>Rodeo sports, general, light effort</s:t>
  </s:si>
  <s:si>
    <s:t>15544</s:t>
  </s:si>
  <s:si>
    <s:t>Rodeo sports, general, moderate effort</s:t>
  </s:si>
  <s:si>
    <s:t>15546</s:t>
  </s:si>
  <s:si>
    <s:t>Rodeo sports, general, vigorous effort</s:t>
  </s:si>
  <s:si>
    <s:t>15550</s:t>
  </s:si>
  <s:si>
    <s:t>Rope jumping, fast pace, 120-160 skips/min</s:t>
  </s:si>
  <s:si>
    <s:t>15551</s:t>
  </s:si>
  <s:si>
    <s:t>Rope jumping, moderate pace, general, 100 to 120 skips/min, 2 foot skip, plain bounce</s:t>
  </s:si>
  <s:si>
    <s:t>15552</s:t>
  </s:si>
  <s:si>
    <s:t>Rope jumping, slow pace, &lt; 100 skips/min, 2 foot skip, rhythm bounce</s:t>
  </s:si>
  <s:si>
    <s:t>15554</s:t>
  </s:si>
  <s:si>
    <s:t>Rope jumping, double under or more</s:t>
  </s:si>
  <s:si>
    <s:t>15560</s:t>
  </s:si>
  <s:si>
    <s:t>Rugby, union, team, competitive</s:t>
  </s:si>
  <s:si>
    <s:t>15562</s:t>
  </s:si>
  <s:si>
    <s:t>Rugby, touch, non-competitive</s:t>
  </s:si>
  <s:si>
    <s:t>15570</s:t>
  </s:si>
  <s:si>
    <s:t>Shuffleboard</s:t>
  </s:si>
  <s:si>
    <s:t>15580</s:t>
  </s:si>
  <s:si>
    <s:t>Skateboarding, general, moderate effort</s:t>
  </s:si>
  <s:si>
    <s:t>15582</s:t>
  </s:si>
  <s:si>
    <s:t>Skateboarding, competitive, vigorous effort</s:t>
  </s:si>
  <s:si>
    <s:t>15590</s:t>
  </s:si>
  <s:si>
    <s:t>Skating, roller (Taylor Code 360)</s:t>
  </s:si>
  <s:si>
    <s:t>15591</s:t>
  </s:si>
  <s:si>
    <s:t>Roller blading, in-line skating, 14.4 km/h (9.0 mph), recreational pace</s:t>
  </s:si>
  <s:si>
    <s:t>15592</s:t>
  </s:si>
  <s:si>
    <s:t>Roller blading, in-line skating, 17.7 km/h (11.0 mph), moderate pace, exercise training</s:t>
  </s:si>
  <s:si>
    <s:t>15593</s:t>
  </s:si>
  <s:si>
    <s:t>Roller blading, in-line skating, 21.0 to 21.7 km/h (13.0 to 13.6 mph), fast pace, exercise training</s:t>
  </s:si>
  <s:si>
    <s:t>15594</s:t>
  </s:si>
  <s:si>
    <s:t>Rollerblading, in-line skating, 24.0 km/h (15.0 mph), maximal effort</s:t>
  </s:si>
  <s:si>
    <s:t>15595</s:t>
  </s:si>
  <s:si>
    <s:t>Skateboard, longboard, 13.3 km/h, slow speed</s:t>
  </s:si>
  <s:si>
    <s:t>15596</s:t>
  </s:si>
  <s:si>
    <s:t>Skateboard, longboard, 16.2 km/h, typical speed</s:t>
  </s:si>
  <s:si>
    <s:t>15597</s:t>
  </s:si>
  <s:si>
    <s:t>Skateboard, longboard, 18.4 km/h, fast speed</s:t>
  </s:si>
  <s:si>
    <s:t>15600</s:t>
  </s:si>
  <s:si>
    <s:t>Skydiving, base-jumping, bungee jumping</s:t>
  </s:si>
  <s:si>
    <s:t>15605</s:t>
  </s:si>
  <s:si>
    <s:t>Soccer, competitive</s:t>
  </s:si>
  <s:si>
    <s:t>15610</s:t>
  </s:si>
  <s:si>
    <s:t>Soccer, casual, general (Taylor Code 540)</s:t>
  </s:si>
  <s:si>
    <s:t>15615</s:t>
  </s:si>
  <s:si>
    <s:t>Walking football/soccer</s:t>
  </s:si>
  <s:si>
    <s:t>15620</s:t>
  </s:si>
  <s:si>
    <s:t>Softball or baseball, fast or slow pitch, general, moderate effort (Taylor Code 440)</s:t>
  </s:si>
  <s:si>
    <s:t>15625</s:t>
  </s:si>
  <s:si>
    <s:t>Softball, practice</s:t>
  </s:si>
  <s:si>
    <s:t>15630</s:t>
  </s:si>
  <s:si>
    <s:t>Softball, officiating</s:t>
  </s:si>
  <s:si>
    <s:t>15640</s:t>
  </s:si>
  <s:si>
    <s:t>Softball, pitching</s:t>
  </s:si>
  <s:si>
    <s:t>15645</s:t>
  </s:si>
  <s:si>
    <s:t>Sports spectator, very excited, emotional, physically moving</s:t>
  </s:si>
  <s:si>
    <s:t>15650</s:t>
  </s:si>
  <s:si>
    <s:t>Squash (Taylor Code 530)</s:t>
  </s:si>
  <s:si>
    <s:t>15652</s:t>
  </s:si>
  <s:si>
    <s:t>Squash, general</s:t>
  </s:si>
  <s:si>
    <s:t>15660</s:t>
  </s:si>
  <s:si>
    <s:t>Table tennis, ping pong (Taylor Code 410)</s:t>
  </s:si>
  <s:si>
    <s:t>15670</s:t>
  </s:si>
  <s:si>
    <s:t>Tai chi, qi gong, general</s:t>
  </s:si>
  <s:si>
    <s:t>15672</s:t>
  </s:si>
  <s:si>
    <s:t>Tai chi, qi gong, sitting, light effort</s:t>
  </s:si>
  <s:si>
    <s:t>15674</s:t>
  </s:si>
  <s:si>
    <s:t>Tai chi chuan, Yang style</s:t>
  </s:si>
  <s:si>
    <s:t>15675</s:t>
  </s:si>
  <s:si>
    <s:t>Tennis, general, moderate effort</s:t>
  </s:si>
  <s:si>
    <s:t>15676</s:t>
  </s:si>
  <s:si>
    <s:t>Tennis, general, competitive</s:t>
  </s:si>
  <s:si>
    <s:t>15680</s:t>
  </s:si>
  <s:si>
    <s:t>Tennis, doubles (Taylor Code 430)</s:t>
  </s:si>
  <s:si>
    <s:t>15685</s:t>
  </s:si>
  <s:si>
    <s:t>Tennis, doubles</s:t>
  </s:si>
  <s:si>
    <s:t>15690</s:t>
  </s:si>
  <s:si>
    <s:t>Tennis, singles (Taylor Code 420)</s:t>
  </s:si>
  <s:si>
    <s:t>15695</s:t>
  </s:si>
  <s:si>
    <s:t>Tennis, hitting balls, non-game play, moderate effort</s:t>
  </s:si>
  <s:si>
    <s:t>15700</s:t>
  </s:si>
  <s:si>
    <s:t>Trampoline, recreational</s:t>
  </s:si>
  <s:si>
    <s:t>15702</s:t>
  </s:si>
  <s:si>
    <s:t>Trampoline, competitive</s:t>
  </s:si>
  <s:si>
    <s:t>15710</s:t>
  </s:si>
  <s:si>
    <s:t>Volleyball (Taylor Code 400)</s:t>
  </s:si>
  <s:si>
    <s:t>15711</s:t>
  </s:si>
  <s:si>
    <s:t>Volleyball, competitive, in gymnasium</s:t>
  </s:si>
  <s:si>
    <s:t>15720</s:t>
  </s:si>
  <s:si>
    <s:t>Volleyball, non-competitive, 6 - 9 member team, general</s:t>
  </s:si>
  <s:si>
    <s:t>15725</s:t>
  </s:si>
  <s:si>
    <s:t>Volleyball, beach, in sand</s:t>
  </s:si>
  <s:si>
    <s:t>15730</s:t>
  </s:si>
  <s:si>
    <s:t>Wrestling, competitive (one match = 5 minutes)</s:t>
  </s:si>
  <s:si>
    <s:t>15731</s:t>
  </s:si>
  <s:si>
    <s:t>Wallyball, general</s:t>
  </s:si>
  <s:si>
    <s:t>15732</s:t>
  </s:si>
  <s:si>
    <s:t>Track and field (e.g., shot, discus, hammer throw)</s:t>
  </s:si>
  <s:si>
    <s:t>15733</s:t>
  </s:si>
  <s:si>
    <s:t>Track and field (e.g., high jump, long jump, triple jump, javelin, pole vault)</s:t>
  </s:si>
  <s:si>
    <s:t>15734</s:t>
  </s:si>
  <s:si>
    <s:t>Track and field (e.g., steeplechase, hurdles)</s:t>
  </s:si>
  <s:si>
    <s:t>Transportation</s:t>
  </s:si>
  <s:si>
    <s:t>16002</s:t>
  </s:si>
  <s:si>
    <s:t>Bicycling for transportation, moderate effort</s:t>
  </s:si>
  <s:si>
    <s:t>16004</s:t>
  </s:si>
  <s:si>
    <s:t>Bicycling for transportation, high effort</s:t>
  </s:si>
  <s:si>
    <s:t>16005</s:t>
  </s:si>
  <s:si>
    <s:t>E-bike (electrically assisted) for transportation</s:t>
  </s:si>
  <s:si>
    <s:t>16010</s:t>
  </s:si>
  <s:si>
    <s:t>Automobile or light truck (not a semi) driving</s:t>
  </s:si>
  <s:si>
    <s:t>16015</s:t>
  </s:si>
  <s:si>
    <s:t>Riding in a car or truck</s:t>
  </s:si>
  <s:si>
    <s:t>16016</s:t>
  </s:si>
  <s:si>
    <s:t>Riding in a bus or train</s:t>
  </s:si>
  <s:si>
    <s:t>16020</s:t>
  </s:si>
  <s:si>
    <s:t>Flying airplane or helicoptor</s:t>
  </s:si>
  <s:si>
    <s:t>16030</s:t>
  </s:si>
  <s:si>
    <s:t>Motor scooter, motorcycle</s:t>
  </s:si>
  <s:si>
    <s:t>16035</s:t>
  </s:si>
  <s:si>
    <s:t>Pulling rickshaw</s:t>
  </s:si>
  <s:si>
    <s:t>16040</s:t>
  </s:si>
  <s:si>
    <s:t>Pushing plane in and out of hangar</s:t>
  </s:si>
  <s:si>
    <s:t>16050</s:t>
  </s:si>
  <s:si>
    <s:t>Truck, semi, tractor, ≥1 ton, or bus, driving</s:t>
  </s:si>
  <s:si>
    <s:t>16060</s:t>
  </s:si>
  <s:si>
    <s:t>Walking for transportation, 2.8-3.2 mph, level, moderate pace, firm surface</s:t>
  </s:si>
  <s:si>
    <s:t>Walking</s:t>
  </s:si>
  <s:si>
    <s:t>17010</s:t>
  </s:si>
  <s:si>
    <s:t>Backpacking (Taylor Code 050)</s:t>
  </s:si>
  <s:si>
    <s:t>17011</s:t>
  </s:si>
  <s:si>
    <s:t>Walking with a day pack, level ground, assumed in the city</s:t>
  </s:si>
  <s:si>
    <s:t>17012</s:t>
  </s:si>
  <s:si>
    <s:t>Backpacking, hiking with a daypack, organized walking with daypack</s:t>
  </s:si>
  <s:si>
    <s:t>17016</s:t>
  </s:si>
  <s:si>
    <s:t>Carrying 5 to 14 lb (2.3 to 6.4 kg) load (e.g. suitcase, boxes, groceries), level ground, moderate pace</s:t>
  </s:si>
  <s:si>
    <s:t>17018</s:t>
  </s:si>
  <s:si>
    <s:t>Carrying 15 - 155 lb (6.8 - 70.4 kg) load (e.g. suitcase, boxes, furniture), level ground or downstairs, slow pace</s:t>
  </s:si>
  <s:si>
    <s:t>17019</s:t>
  </s:si>
  <s:si>
    <s:t>Carrying 50 to 150 pound load (e.g., equine or bovine feed, fence pipes, furniture), level ground, moderate pace</s:t>
  </s:si>
  <s:si>
    <s:t>17021</s:t>
  </s:si>
  <s:si>
    <s:t>Carrying ~10 lb child, slow walking</s:t>
  </s:si>
  <s:si>
    <s:t>17025</s:t>
  </s:si>
  <s:si>
    <s:t>Carrying load upstairs, general</s:t>
  </s:si>
  <s:si>
    <s:t>17026</s:t>
  </s:si>
  <s:si>
    <s:t>Carrying load, 1 to 15 lb load, upstairs</s:t>
  </s:si>
  <s:si>
    <s:t>17027</s:t>
  </s:si>
  <s:si>
    <s:t>Carrying load, 16 to 24 lb load, upstairs</s:t>
  </s:si>
  <s:si>
    <s:t>17028</s:t>
  </s:si>
  <s:si>
    <s:t>Carrying load, 25 to 49 lb load, upstairs</s:t>
  </s:si>
  <s:si>
    <s:t>17029</s:t>
  </s:si>
  <s:si>
    <s:t>Carrying load, 50 to 74 lb load, upstairs</s:t>
  </s:si>
  <s:si>
    <s:t>17030</s:t>
  </s:si>
  <s:si>
    <s:t>Carrying load, &gt;74 lb load, upstairs</s:t>
  </s:si>
  <s:si>
    <s:t>17031</s:t>
  </s:si>
  <s:si>
    <s:t>Loading and/or unloading a car, implied walking</s:t>
  </s:si>
  <s:si>
    <s:t>17032</s:t>
  </s:si>
  <s:si>
    <s:t>Climbing hills, no load, 5 to 20% grade, very slow pace</s:t>
  </s:si>
  <s:si>
    <s:t>17033</s:t>
  </s:si>
  <s:si>
    <s:t>Climbing hills, 15-50 lb load, 1 to 2% grade, slow pace</s:t>
  </s:si>
  <s:si>
    <s:t>17034</s:t>
  </s:si>
  <s:si>
    <s:t>Climbing hills, no load, 1 to 5% grade, moderate-to-brisk pace</s:t>
  </s:si>
  <s:si>
    <s:t>17035</s:t>
  </s:si>
  <s:si>
    <s:t>Climbing hills, no load, 6 to 10% grade, moderate-to-brisk pace</s:t>
  </s:si>
  <s:si>
    <s:t>17036</s:t>
  </s:si>
  <s:si>
    <s:t>Climbing hills, no load, 11 to 20% grade, slow-to-moderate pace</s:t>
  </s:si>
  <s:si>
    <s:t>17037</s:t>
  </s:si>
  <s:si>
    <s:t>Climbing hills, no load, 4.0 to 5.0 mph, 3 to 5% grade, very fast pace</s:t>
  </s:si>
  <s:si>
    <s:t>17038</s:t>
  </s:si>
  <s:si>
    <s:t>Climbing hills, no load, steep grade (30%), slow pace (less than 1.2 mph)</s:t>
  </s:si>
  <s:si>
    <s:t>17039</s:t>
  </s:si>
  <s:si>
    <s:t>Climbing hills, no load, very steep grade (30-40%), 1.2 to 1.8 mph</s:t>
  </s:si>
  <s:si>
    <s:t>17040</s:t>
  </s:si>
  <s:si>
    <s:t>Climbing hills, no load, steep grade (10-40%), 1.8 to 5.0 mph</s:t>
  </s:si>
  <s:si>
    <s:t>17045</s:t>
  </s:si>
  <s:si>
    <s:t>Climbing hills, 10 to 20 lb load, 5 to 10% grade, moderate</s:t>
  </s:si>
  <s:si>
    <s:t>17050</s:t>
  </s:si>
  <s:si>
    <s:t>Climbing hills, 21 to 40 lb load, 3 to 10% grade, moderate-to-brisk pace</s:t>
  </s:si>
  <s:si>
    <s:t>17060</s:t>
  </s:si>
  <s:si>
    <s:t>Climbing hills, 20+ pound load, 5 to 20% grade, moderate to brisk pace</s:t>
  </s:si>
  <s:si>
    <s:t>17070</s:t>
  </s:si>
  <s:si>
    <s:t>Descending stairs</s:t>
  </s:si>
  <s:si>
    <s:t>17076</s:t>
  </s:si>
  <s:si>
    <s:t>Hauling water, head hauling, walking on flat surface</s:t>
  </s:si>
  <s:si>
    <s:t>17080</s:t>
  </s:si>
  <s:si>
    <s:t>Hiking, cross country (Taylor Code 040)</s:t>
  </s:si>
  <s:si>
    <s:t>17081</s:t>
  </s:si>
  <s:si>
    <s:t>Hiking slowly or ambling through fields and hillsides, no load</s:t>
  </s:si>
  <s:si>
    <s:t>17082</s:t>
  </s:si>
  <s:si>
    <s:t>Hiking or walking at a normal pace through fields and hillsides, no load</s:t>
  </s:si>
  <s:si>
    <s:t>17085</s:t>
  </s:si>
  <s:si>
    <s:t>Bird watching, walking and stopping</s:t>
  </s:si>
  <s:si>
    <s:t>17088</s:t>
  </s:si>
  <s:si>
    <s:t>Marching, moderate speed, military, no pack</s:t>
  </s:si>
  <s:si>
    <s:t>17090</s:t>
  </s:si>
  <s:si>
    <s:t>Marching rapidly, military, no pack</s:t>
  </s:si>
  <s:si>
    <s:t>17100</s:t>
  </s:si>
  <s:si>
    <s:t>Pushing or pulling stroller with child or walking with children, 2.5 to 3.1 mph</s:t>
  </s:si>
  <s:si>
    <s:t>17105</s:t>
  </s:si>
  <s:si>
    <s:t>Pushing a wheelchair, non-occupational</s:t>
  </s:si>
  <s:si>
    <s:t>17110</s:t>
  </s:si>
  <s:si>
    <s:t>Race walking</s:t>
  </s:si>
  <s:si>
    <s:t>17130</s:t>
  </s:si>
  <s:si>
    <s:t>Stair climbing, using or climbing up ladder (Taylor Code 030)</s:t>
  </s:si>
  <s:si>
    <s:t>17131</s:t>
  </s:si>
  <s:si>
    <s:t>Stair climbing, general</s:t>
  </s:si>
  <s:si>
    <s:t>17133</s:t>
  </s:si>
  <s:si>
    <s:t>Stair climbing, slow pace</s:t>
  </s:si>
  <s:si>
    <s:t>17134</s:t>
  </s:si>
  <s:si>
    <s:t>Stair climbing, fast pace, one step at a time</s:t>
  </s:si>
  <s:si>
    <s:t>17136</s:t>
  </s:si>
  <s:si>
    <s:t>Stair climbing, two steps at a time</s:t>
  </s:si>
  <s:si>
    <s:t>17138</s:t>
  </s:si>
  <s:si>
    <s:t>Stair climbing, ascending and descending stairs</s:t>
  </s:si>
  <s:si>
    <s:t>17140</s:t>
  </s:si>
  <s:si>
    <s:t>Using crutches, level ground, general</s:t>
  </s:si>
  <s:si>
    <s:t>17142</s:t>
  </s:si>
  <s:si>
    <s:t>Using crutches, fast pace</s:t>
  </s:si>
  <s:si>
    <s:t>17145</s:t>
  </s:si>
  <s:si>
    <s:t>Using medical knee scooter</s:t>
  </s:si>
  <s:si>
    <s:t>17150</s:t>
  </s:si>
  <s:si>
    <s:t>Walking, household</s:t>
  </s:si>
  <s:si>
    <s:t>17151</s:t>
  </s:si>
  <s:si>
    <s:t>Walking, less than 2.0 mph, level, strolling, very slow</s:t>
  </s:si>
  <s:si>
    <s:t>17152</s:t>
  </s:si>
  <s:si>
    <s:t>Walking, 2.0 to 2.4 mph, level, slow pace, firm surface</s:t>
  </s:si>
  <s:si>
    <s:t>17160</s:t>
  </s:si>
  <s:si>
    <s:t>Walking for pleasure (Taylor Code 010)</s:t>
  </s:si>
  <s:si>
    <s:t>17161</s:t>
  </s:si>
  <s:si>
    <s:t>Walking from house to car or bus, from car or bus to go places, from car or bus to and from the worksite</s:t>
  </s:si>
  <s:si>
    <s:t>17162</s:t>
  </s:si>
  <s:si>
    <s:t>Walking to neighbor’s house or family’s house for social reasons</s:t>
  </s:si>
  <s:si>
    <s:t>17165</s:t>
  </s:si>
  <s:si>
    <s:t>Walking the dog</s:t>
  </s:si>
  <s:si>
    <s:t>17170</s:t>
  </s:si>
  <s:si>
    <s:t>Walking, 2.5 mph, firm, level surface</s:t>
  </s:si>
  <s:si>
    <s:t>17180</s:t>
  </s:si>
  <s:si>
    <s:t>Walking, 2.5 mph, downhill</s:t>
  </s:si>
  <s:si>
    <s:t>17190</s:t>
  </s:si>
  <s:si>
    <s:t>Walking, 2.8 to 3.4 mph, level, moderate pace, firm surface</s:t>
  </s:si>
  <s:si>
    <s:t>17200</s:t>
  </s:si>
  <s:si>
    <s:t>Walking, 3.5 to 3.9 mph, level, brisk, firm surface, walking for exercise</s:t>
  </s:si>
  <s:si>
    <s:t>17220</s:t>
  </s:si>
  <s:si>
    <s:t>Walking, 4.0 to 4.4 mph (6.4 to 7.0 km/h), level, firm surface, very brisk pace</s:t>
  </s:si>
  <s:si>
    <s:t>17230</s:t>
  </s:si>
  <s:si>
    <s:t>Walking, 4.5 to 4.9 mph, level, firm surface, very, very brisk</s:t>
  </s:si>
  <s:si>
    <s:t>17231</s:t>
  </s:si>
  <s:si>
    <s:t>Walking, 5.0 to 5.5 mph (8.8 to 8.9 km/h), level, firm surface</s:t>
  </s:si>
  <s:si>
    <s:t>17250</s:t>
  </s:si>
  <s:si>
    <s:t>Walking, for pleasure, work break (Taylor Code xxx)</s:t>
  </s:si>
  <s:si>
    <s:t>17255</s:t>
  </s:si>
  <s:si>
    <s:t>Walking, self-selected speed, indoor track or outdoors, firm surface</s:t>
  </s:si>
  <s:si>
    <s:t>17260</s:t>
  </s:si>
  <s:si>
    <s:t>Walking, grass track</s:t>
  </s:si>
  <s:si>
    <s:t>17262</s:t>
  </s:si>
  <s:si>
    <s:t>Walking, normal pace, plowed field or sand</s:t>
  </s:si>
  <s:si>
    <s:t>17270</s:t>
  </s:si>
  <s:si>
    <s:t>Walking, to work or class (Taylor Code 015)</s:t>
  </s:si>
  <s:si>
    <s:t>17280</s:t>
  </s:si>
  <s:si>
    <s:t>Walking, to and from an outhouse</s:t>
  </s:si>
  <s:si>
    <s:t>17302</s:t>
  </s:si>
  <s:si>
    <s:t>Walking, for exercise, 2.5 to 3.5 mph (4.0 to 5.6 km/h), with ski poles, Nordic walking, level, moderate pace</s:t>
  </s:si>
  <s:si>
    <s:t>17304</s:t>
  </s:si>
  <s:si>
    <s:t>Walking, for exercise, 3.6 to 4.4 mph (5.8 to 7.1 km/h), with ski poles, Nordic walking, level, moderate pace</s:t>
  </s:si>
  <s:si>
    <s:t>17305</s:t>
  </s:si>
  <s:si>
    <s:t>Walking, for exercise, 4.5 to 5.0 mph, with ski poles, Nordic walking, level, fast pace</s:t>
  </s:si>
  <s:si>
    <s:t>17310</s:t>
  </s:si>
  <s:si>
    <s:t>Walking, for exercise, with ski poles, Nordic walking, uphill, moderate pace</s:t>
  </s:si>
  <s:si>
    <s:t>17313</s:t>
  </s:si>
  <s:si>
    <s:t>Walking, for exercise, with ski poles, Nordic walking, level ground, carrying 20 to 30 lb load (9.0 to 15.0 kg)</s:t>
  </s:si>
  <s:si>
    <s:t>17315</s:t>
  </s:si>
  <s:si>
    <s:t>Walking, for exercise, with ski poles, Nordic walking, uphill, carrying 20 to 30 lb load (9.0 to 15.0 kg)</s:t>
  </s:si>
  <s:si>
    <s:t>17320</s:t>
  </s:si>
  <s:si>
    <s:t>Walking, backward, 3.5 mph, level</s:t>
  </s:si>
  <s:si>
    <s:t>17325</s:t>
  </s:si>
  <s:si>
    <s:t>Walking, backward, 3.5 mph, uphill, 5% grade</s:t>
  </s:si>
  <s:si>
    <s:t>17330</s:t>
  </s:si>
  <s:si>
    <s:t>Walking, Teabag walk, Monty Python Ministry of Silly Walks</s:t>
  </s:si>
  <s:si>
    <s:t>17332</s:t>
  </s:si>
  <s:si>
    <s:t>Walking, Putey walk, Monty Python Ministry of Silly Walks</s:t>
  </s:si>
  <s:si>
    <s:t>17340</s:t>
  </s:si>
  <s:si>
    <s:t>Walking, treadmill, less than 1.0 mph, 0% grade</s:t>
  </s:si>
  <s:si>
    <s:t>17343</s:t>
  </s:si>
  <s:si>
    <s:t>Walking, treadmill, 1.0 mph, 0% grade</s:t>
  </s:si>
  <s:si>
    <s:t>17346</s:t>
  </s:si>
  <s:si>
    <s:t>Walking, treadmill, 1.2 to 1.9 mph, 0% grade (1.9 to 3.0 km/h)</s:t>
  </s:si>
  <s:si>
    <s:t>17349</s:t>
  </s:si>
  <s:si>
    <s:t>Walking, treadmill, 2.0 to 2.4 mph (3.2 to 3.9 km/h), 0% grade</s:t>
  </s:si>
  <s:si>
    <s:t>17352</s:t>
  </s:si>
  <s:si>
    <s:t>Walking, treadmill, 2.5 to 2.9 mph (4.0 to 4.7 km/h), 0% grade</s:t>
  </s:si>
  <s:si>
    <s:t>17355</s:t>
  </s:si>
  <s:si>
    <s:t>Walking, treadmill, 3.0 to 3.4 mph (4.8 to 5.5 km/h), 0% grade</s:t>
  </s:si>
  <s:si>
    <s:t>17358</s:t>
  </s:si>
  <s:si>
    <s:t>Walking, treadmill, 3.5 to 3.9 mph (5.6 to 6.3 km/h), 0% grade</s:t>
  </s:si>
  <s:si>
    <s:t>17361</s:t>
  </s:si>
  <s:si>
    <s:t>Walking, treadmill, 4.0 to 4.4 mph (6.4 to 7.1 km/h), 0% grade</s:t>
  </s:si>
  <s:si>
    <s:t>17364</s:t>
  </s:si>
  <s:si>
    <s:t>Walking, treadmill, 4.5 to 4.9 mph (7.2 to 7.9 km/h), 0% grade</s:t>
  </s:si>
  <s:si>
    <s:t>17367</s:t>
  </s:si>
  <s:si>
    <s:t>Walking, treadmill, 5.0 to 5.5 mph (8.0 to 8.9 km/h), 0% grade</s:t>
  </s:si>
  <s:si>
    <s:t>17382</s:t>
  </s:si>
  <s:si>
    <s:t>Walking, treadmill, downhill (-3% to -12% grade), 2.8 to 3.1 mph</s:t>
  </s:si>
  <s:si>
    <s:t>17412</s:t>
  </s:si>
  <s:si>
    <s:t>Walking, treadmill, downhill (-5% to -25% grade), 2.8 mph, with Nordic Poles</s:t>
  </s:si>
  <s:si>
    <s:t>17434</s:t>
  </s:si>
  <s:si>
    <s:t>Walking, treadmill, 2.5 mph, 0% grade, 5 to 20 degrees C, 40 lb (18.2 kg) load</s:t>
  </s:si>
  <s:si>
    <s:t>17438</s:t>
  </s:si>
  <s:si>
    <s:t>Walking, treadmill, 2.5 mph, 0% grade, -10 to 0 degrees C, 40 lb (18.2 kg) load</s:t>
  </s:si>
  <s:si>
    <s:t>17455</s:t>
  </s:si>
  <s:si>
    <s:t>Walking, Curved treadmill, 3.0 to 5.0 mph, brisk pace</s:t>
  </s:si>
  <s:si>
    <s:t>17475</s:t>
  </s:si>
  <s:si>
    <s:t>Walking treadmill, backwards, 2.5 mph, +10% grade</s:t>
  </s:si>
  <s:si>
    <s:t>17492</s:t>
  </s:si>
  <s:si>
    <s:t>Walking, with a walker or step-to gait on treadmill, 0.7 mph (1.1 km/h), 0% grade</s:t>
  </s:si>
  <s:si>
    <s:t>Water Activities</s:t>
  </s:si>
  <s:si>
    <s:t>18010</s:t>
  </s:si>
  <s:si>
    <s:t>Boating, power, driving</s:t>
  </s:si>
  <s:si>
    <s:t>18012</s:t>
  </s:si>
  <s:si>
    <s:t>Boating, power, passenger, light</s:t>
  </s:si>
  <s:si>
    <s:t>18020</s:t>
  </s:si>
  <s:si>
    <s:t>Canoeing, on camping trip (Taylor Code 270)</s:t>
  </s:si>
  <s:si>
    <s:t>18025</s:t>
  </s:si>
  <s:si>
    <s:t>Canoeing, harvesting wild rice, knocking rice off the stalks</s:t>
  </s:si>
  <s:si>
    <s:t>18030</s:t>
  </s:si>
  <s:si>
    <s:t>Canoeing, portaging</s:t>
  </s:si>
  <s:si>
    <s:t>18040</s:t>
  </s:si>
  <s:si>
    <s:t>Canoeing, rowing, 2.0-3.9 mph, light effort</s:t>
  </s:si>
  <s:si>
    <s:t>18050</s:t>
  </s:si>
  <s:si>
    <s:t>Canoeing, rowing, 4.0-5.9 mph, moderate effort</s:t>
  </s:si>
  <s:si>
    <s:t>18060</s:t>
  </s:si>
  <s:si>
    <s:t>Canoeing, rowing, kayaking, competition, &gt; 6 mph, vigorous effort</s:t>
  </s:si>
  <s:si>
    <s:t>18070</s:t>
  </s:si>
  <s:si>
    <s:t>Canoeing, rowing, for pleasure, general (Taylor Code 250)</s:t>
  </s:si>
  <s:si>
    <s:t>18080</s:t>
  </s:si>
  <s:si>
    <s:t>Canoeing or rowing, in competition, crew or sculling (Taylor Code 260)</s:t>
  </s:si>
  <s:si>
    <s:t>18090</s:t>
  </s:si>
  <s:si>
    <s:t>Diving, springboard or platform</s:t>
  </s:si>
  <s:si>
    <s:t>18100</s:t>
  </s:si>
  <s:si>
    <s:t>Kayaking, moderate effort</s:t>
  </s:si>
  <s:si>
    <s:t>18104</s:t>
  </s:si>
  <s:si>
    <s:t>Kayaking, competition</s:t>
  </s:si>
  <s:si>
    <s:t>18106</s:t>
  </s:si>
  <s:si>
    <s:t>Kayaking, slalom, flat water</s:t>
  </s:si>
  <s:si>
    <s:t>18110</s:t>
  </s:si>
  <s:si>
    <s:t>Paddle boat</s:t>
  </s:si>
  <s:si>
    <s:t>18112</s:t>
  </s:si>
  <s:si>
    <s:t>Rowing, simulated crew in a water tank, single oar, 33 strokes/min,</s:t>
  </s:si>
  <s:si>
    <s:t>18114</s:t>
  </s:si>
  <s:si>
    <s:t>Rowing, single scull, ergometer, ergometer on slides, racing speed (32+ strokes/min, &gt;10 mph)</s:t>
  </s:si>
  <s:si>
    <s:t>18120</s:t>
  </s:si>
  <s:si>
    <s:t>Sailing, boat and board sailing, windsurfing, ice sailing, general (Taylor Code 235)</s:t>
  </s:si>
  <s:si>
    <s:t>18130</s:t>
  </s:si>
  <s:si>
    <s:t>Sailing, in competition, general</s:t>
  </s:si>
  <s:si>
    <s:t>18132</s:t>
  </s:si>
  <s:si>
    <s:t>Sailing, in competition, high effort</s:t>
  </s:si>
  <s:si>
    <s:t>18140</s:t>
  </s:si>
  <s:si>
    <s:t>Sailing, Sunfish/Laser/Hobby Cat, Keel boats, ocean sailing, yachting, leisure</s:t>
  </s:si>
  <s:si>
    <s:t>18142</s:t>
  </s:si>
  <s:si>
    <s:t>Sailing, dingy</s:t>
  </s:si>
  <s:si>
    <s:t>18150</s:t>
  </s:si>
  <s:si>
    <s:t>Skiing, water or wake boarding (Taylor Code 220)</s:t>
  </s:si>
  <s:si>
    <s:t>18160</s:t>
  </s:si>
  <s:si>
    <s:t>Jet skiing, driving, in water</s:t>
  </s:si>
  <s:si>
    <s:t>18180</s:t>
  </s:si>
  <s:si>
    <s:t>Skindiving, fast</s:t>
  </s:si>
  <s:si>
    <s:t>18190</s:t>
  </s:si>
  <s:si>
    <s:t>Skindiving, moderate</s:t>
  </s:si>
  <s:si>
    <s:t>18200</s:t>
  </s:si>
  <s:si>
    <s:t>Skindiving, scuba diving, general (Taylor Code 310)</s:t>
  </s:si>
  <s:si>
    <s:t>18202</s:t>
  </s:si>
  <s:si>
    <s:t>Scuba diving, general, light effort</s:t>
  </s:si>
  <s:si>
    <s:t>18204</s:t>
  </s:si>
  <s:si>
    <s:t>Scuba diving, general, moderate effort</s:t>
  </s:si>
  <s:si>
    <s:t>18206</s:t>
  </s:si>
  <s:si>
    <s:t>Scuba diving, professional diver</s:t>
  </s:si>
  <s:si>
    <s:t>18208</s:t>
  </s:si>
  <s:si>
    <s:t>Scuba diving, recreational diver</s:t>
  </s:si>
  <s:si>
    <s:t>18210</s:t>
  </s:si>
  <s:si>
    <s:t>Snorkeling (Taylor Code 320)</s:t>
  </s:si>
  <s:si>
    <s:t>18220</s:t>
  </s:si>
  <s:si>
    <s:t>Surfing, body or board, general</s:t>
  </s:si>
  <s:si>
    <s:t>18221</s:t>
  </s:si>
  <s:si>
    <s:t>Surfboard, paddling</s:t>
  </s:si>
  <s:si>
    <s:t>18222</s:t>
  </s:si>
  <s:si>
    <s:t>Surfing, body or board, competitive</s:t>
  </s:si>
  <s:si>
    <s:t>18224</s:t>
  </s:si>
  <s:si>
    <s:t>Stand up paddle boarding, general</s:t>
  </s:si>
  <s:si>
    <s:t>18225</s:t>
  </s:si>
  <s:si>
    <s:t>Stand up Paddleboard, standing, 10-19 strokes/min</s:t>
  </s:si>
  <s:si>
    <s:t>18226</s:t>
  </s:si>
  <s:si>
    <s:t>Stand up Paddleboard, standing, 20-29 strokes/min</s:t>
  </s:si>
  <s:si>
    <s:t>18227</s:t>
  </s:si>
  <s:si>
    <s:t>Stand up Paddleboard, standing, 30-39 strokes/min</s:t>
  </s:si>
  <s:si>
    <s:t>18228</s:t>
  </s:si>
  <s:si>
    <s:t>Stand up Paddleboard, standing, 40-49 strokes/min</s:t>
  </s:si>
  <s:si>
    <s:t>18229</s:t>
  </s:si>
  <s:si>
    <s:t>Stand up Paddleboard, standing, 50-69 strokes/min</s:t>
  </s:si>
  <s:si>
    <s:t>18230</s:t>
  </s:si>
  <s:si>
    <s:t>Swimming laps, freestyle, fast, vigorous effort</s:t>
  </s:si>
  <s:si>
    <s:t>18240</s:t>
  </s:si>
  <s:si>
    <s:t>Swimming laps, freestyle, slow, recreational</s:t>
  </s:si>
  <s:si>
    <s:t>18250</s:t>
  </s:si>
  <s:si>
    <s:t>Swimming, backstroke, training or competition</s:t>
  </s:si>
  <s:si>
    <s:t>18255</s:t>
  </s:si>
  <s:si>
    <s:t>Swimming, backstroke, recreational</s:t>
  </s:si>
  <s:si>
    <s:t>18260</s:t>
  </s:si>
  <s:si>
    <s:t>Swimming, breaststroke, general, training or competition</s:t>
  </s:si>
  <s:si>
    <s:t>18265</s:t>
  </s:si>
  <s:si>
    <s:t>Swimming breaststroke, recreational</s:t>
  </s:si>
  <s:si>
    <s:t>18270</s:t>
  </s:si>
  <s:si>
    <s:t>Swimming, butterfly, general</s:t>
  </s:si>
  <s:si>
    <s:t>18280</s:t>
  </s:si>
  <s:si>
    <s:t>Swimming, crawl, fast speed, ~75 yards/minute, vigorous effort</s:t>
  </s:si>
  <s:si>
    <s:t>18285</s:t>
  </s:si>
  <s:si>
    <s:t>Swimming, open water, 5k</s:t>
  </s:si>
  <s:si>
    <s:t>18290</s:t>
  </s:si>
  <s:si>
    <s:t>Swimming, crawl, medium speed, ~50 yards/minute, vigorous effort</s:t>
  </s:si>
  <s:si>
    <s:t>18292</s:t>
  </s:si>
  <s:si>
    <s:t>Swimming, crawl, slow speed, 30-45 yards/minute, moderate effort</s:t>
  </s:si>
  <s:si>
    <s:t>18294</s:t>
  </s:si>
  <s:si>
    <s:t>Swimming, crawl, elite swimmers, competition, &gt;90 yards/minute</s:t>
  </s:si>
  <s:si>
    <s:t>18300</s:t>
  </s:si>
  <s:si>
    <s:t>Swimming, lake, ocean, river (Taylor Codes 280, 295)</s:t>
  </s:si>
  <s:si>
    <s:t>18310</s:t>
  </s:si>
  <s:si>
    <s:t>Swimming, leisurely, not lap swimming, general</s:t>
  </s:si>
  <s:si>
    <s:t>18320</s:t>
  </s:si>
  <s:si>
    <s:t>Swimming, sidestroke, general</s:t>
  </s:si>
  <s:si>
    <s:t>18330</s:t>
  </s:si>
  <s:si>
    <s:t>Swimming, synchronized</s:t>
  </s:si>
  <s:si>
    <s:t>18340</s:t>
  </s:si>
  <s:si>
    <s:t>Swimming, treading water, fast, vigorous effort</s:t>
  </s:si>
  <s:si>
    <s:t>18350</s:t>
  </s:si>
  <s:si>
    <s:t>Swimming, treading water, moderate effort, general</s:t>
  </s:si>
  <s:si>
    <s:t>18352</s:t>
  </s:si>
  <s:si>
    <s:t>Tubing, floating on a river, general</s:t>
  </s:si>
  <s:si>
    <s:t>18355</s:t>
  </s:si>
  <s:si>
    <s:t>Water aerobics, water calisthenics, general</s:t>
  </s:si>
  <s:si>
    <s:t>18356</s:t>
  </s:si>
  <s:si>
    <s:t>Water aerobics, resistance exercises</s:t>
  </s:si>
  <s:si>
    <s:t>18358</s:t>
  </s:si>
  <s:si>
    <s:t>Water aerobics, high intensity</s:t>
  </s:si>
  <s:si>
    <s:t>18360</s:t>
  </s:si>
  <s:si>
    <s:t>Water polo</s:t>
  </s:si>
  <s:si>
    <s:t>18365</s:t>
  </s:si>
  <s:si>
    <s:t>Water volleyball</s:t>
  </s:si>
  <s:si>
    <s:t>18366</s:t>
  </s:si>
  <s:si>
    <s:t>Water jogging, vigorous effort</s:t>
  </s:si>
  <s:si>
    <s:t>18367</s:t>
  </s:si>
  <s:si>
    <s:t>Water walking, light effort, slow pace</s:t>
  </s:si>
  <s:si>
    <s:t>18368</s:t>
  </s:si>
  <s:si>
    <s:t>Water walking, moderate effort, moderate pace</s:t>
  </s:si>
  <s:si>
    <s:t>18369</s:t>
  </s:si>
  <s:si>
    <s:t>Water walking, vigorous effort, brisk pace</s:t>
  </s:si>
  <s:si>
    <s:t>18370</s:t>
  </s:si>
  <s:si>
    <s:t>Whitewater rafting, kayaking, or canoeing</s:t>
  </s:si>
  <s:si>
    <s:t>18374</s:t>
  </s:si>
  <s:si>
    <s:t>Water running, 30 steps/min, slow</s:t>
  </s:si>
  <s:si>
    <s:t>18375</s:t>
  </s:si>
  <s:si>
    <s:t>Water running, 40 steps/min, moderate</s:t>
  </s:si>
  <s:si>
    <s:t>18376</s:t>
  </s:si>
  <s:si>
    <s:t>Water running, 50 steps/min, fast</s:t>
  </s:si>
  <s:si>
    <s:t>18377</s:t>
  </s:si>
  <s:si>
    <s:t>Water running, 60 steps/min, very fast</s:t>
  </s:si>
  <s:si>
    <s:t>18380</s:t>
  </s:si>
  <s:si>
    <s:t>Windsurfing, not pumping for speed</s:t>
  </s:si>
  <s:si>
    <s:t>18385</s:t>
  </s:si>
  <s:si>
    <s:t>Windsurfing or kitesurfing, crossing trial</s:t>
  </s:si>
  <s:si>
    <s:t>18390</s:t>
  </s:si>
  <s:si>
    <s:t>Windsurfing, competition, pumping for speed</s:t>
  </s:si>
  <s:si>
    <s:t>18404</s:t>
  </s:si>
  <s:si>
    <s:t>Aquatic cycling, 25 W, 40-50 RPM</s:t>
  </s:si>
  <s:si>
    <s:t>18408</s:t>
  </s:si>
  <s:si>
    <s:t>Aquatic cycling, 25 W, 60-70 RPM</s:t>
  </s:si>
  <s:si>
    <s:t>18412</s:t>
  </s:si>
  <s:si>
    <s:t>Aquatic cycling, 50 W, 40-50 RPM</s:t>
  </s:si>
  <s:si>
    <s:t>18416</s:t>
  </s:si>
  <s:si>
    <s:t>Aquatic cycling, 50 W, 60-70 RPM</s:t>
  </s:si>
  <s:si>
    <s:t>18420</s:t>
  </s:si>
  <s:si>
    <s:t>Aquatic cycling, 75 W, 40-50 RPM</s:t>
  </s:si>
  <s:si>
    <s:t>18424</s:t>
  </s:si>
  <s:si>
    <s:t>Aquatic cycling, 75 W, 60-70 RPM</s:t>
  </s:si>
  <s:si>
    <s:t>18428</s:t>
  </s:si>
  <s:si>
    <s:t>Aquatic cycling, 100 W, 40-50 RPM</s:t>
  </s:si>
  <s:si>
    <s:t>18432</s:t>
  </s:si>
  <s:si>
    <s:t>Aquatic cycling, 100 W, 60-70 RPM</s:t>
  </s:si>
  <s:si>
    <s:t>18436</s:t>
  </s:si>
  <s:si>
    <s:t>Aquatic cycling, 80-89 RPM</s:t>
  </s:si>
  <s:si>
    <s:t>18440</s:t>
  </s:si>
  <s:si>
    <s:t>Aquatic cycling, 90+ RPM</s:t>
  </s:si>
  <s:si>
    <s:t>Winter Activities</s:t>
  </s:si>
  <s:si>
    <s:t>19005</s:t>
  </s:si>
  <s:si>
    <s:t>Dog sledding, mushing</s:t>
  </s:si>
  <s:si>
    <s:t>19006</s:t>
  </s:si>
  <s:si>
    <s:t>Dog sledding, passenger</s:t>
  </s:si>
  <s:si>
    <s:t>19010</s:t>
  </s:si>
  <s:si>
    <s:t>Moving icehouse, set up/drill holes</s:t>
  </s:si>
  <s:si>
    <s:t>19011</s:t>
  </s:si>
  <s:si>
    <s:t>Ice fishing</s:t>
  </s:si>
  <s:si>
    <s:t>19018</s:t>
  </s:si>
  <s:si>
    <s:t>Skating, ice dancing</s:t>
  </s:si>
  <s:si>
    <s:t>19020</s:t>
  </s:si>
  <s:si>
    <s:t>Skating, ice, 9 mph or less</s:t>
  </s:si>
  <s:si>
    <s:t>19030</s:t>
  </s:si>
  <s:si>
    <s:t>Skating, ice, general (Taylor Code 360)</s:t>
  </s:si>
  <s:si>
    <s:t>19040</s:t>
  </s:si>
  <s:si>
    <s:t>Skating, ice, rapidly, more than 9 mph but not competitive</s:t>
  </s:si>
  <s:si>
    <s:t>19045</s:t>
  </s:si>
  <s:si>
    <s:t>Skating Treadmill, 6 - 6.9 mph, 2% grade</s:t>
  </s:si>
  <s:si>
    <s:t>19046</s:t>
  </s:si>
  <s:si>
    <s:t>Skating Treadmill, 7 - 7.9 mph, 2% grade</s:t>
  </s:si>
  <s:si>
    <s:t>19047</s:t>
  </s:si>
  <s:si>
    <s:t>Skating Treadmill, 8 - 8.9 mph, 2% grade</s:t>
  </s:si>
  <s:si>
    <s:t>19048</s:t>
  </s:si>
  <s:si>
    <s:t>Skating Treadmill, 9 - 9.9 mph, 2% grade</s:t>
  </s:si>
  <s:si>
    <s:t>19050</s:t>
  </s:si>
  <s:si>
    <s:t>Skating, speed, competitive</s:t>
  </s:si>
  <s:si>
    <s:t>19060</s:t>
  </s:si>
  <s:si>
    <s:t>Ski jumping, climb up carrying skis</s:t>
  </s:si>
  <s:si>
    <s:t>19075</s:t>
  </s:si>
  <s:si>
    <s:t>Skiing, general</s:t>
  </s:si>
  <s:si>
    <s:t>19080</s:t>
  </s:si>
  <s:si>
    <s:t>Skiing, cross country, 2.5 mph, slow or light effort, ski walking</s:t>
  </s:si>
  <s:si>
    <s:t>19090</s:t>
  </s:si>
  <s:si>
    <s:t>Skiing, cross country, 4.0-4.9 mph, moderate speed and effort, general</s:t>
  </s:si>
  <s:si>
    <s:t>19100</s:t>
  </s:si>
  <s:si>
    <s:t>Skiing, cross country, 5.0-7.9 mph, brisk speed, vigorous effort</s:t>
  </s:si>
  <s:si>
    <s:t>19110</s:t>
  </s:si>
  <s:si>
    <s:t>Skiing, cross country, elite skier, &gt;8.0-11.9 mph, racing</s:t>
  </s:si>
  <s:si>
    <s:t>19112</s:t>
  </s:si>
  <s:si>
    <s:t>Skiing, cross country, 12-16 mph, elite skier, racing</s:t>
  </s:si>
  <s:si>
    <s:t>19115</s:t>
  </s:si>
  <s:si>
    <s:t>Skiing, cross-country skiing high-intensity training</s:t>
  </s:si>
  <s:si>
    <s:t>19130</s:t>
  </s:si>
  <s:si>
    <s:t>Skiing, cross country, hard snow, uphill, maximum, snow mountaineering</s:t>
  </s:si>
  <s:si>
    <s:t>19135</s:t>
  </s:si>
  <s:si>
    <s:t>Skiing, cross-country, skating</s:t>
  </s:si>
  <s:si>
    <s:t>19140</s:t>
  </s:si>
  <s:si>
    <s:t>Skiing, cross-country, biathlon, skating technique</s:t>
  </s:si>
  <s:si>
    <s:t>19142</s:t>
  </s:si>
  <s:si>
    <s:t>Biathlon training, 5 degree incline, 8 km/h (5 mph), with/without rifle</s:t>
  </s:si>
  <s:si>
    <s:t>19144</s:t>
  </s:si>
  <s:si>
    <s:t>Biathlon training, 5 degree incline, 10.7 km/h (5 mph), with/without rifle</s:t>
  </s:si>
  <s:si>
    <s:t>19146</s:t>
  </s:si>
  <s:si>
    <s:t>Skiing, slalom</s:t>
  </s:si>
  <s:si>
    <s:t>19150</s:t>
  </s:si>
  <s:si>
    <s:t>Skiing, downhill, alpine or snowboarding, light effort, active time only</s:t>
  </s:si>
  <s:si>
    <s:t>19160</s:t>
  </s:si>
  <s:si>
    <s:t>Skiing, downhill, alpine or snowboarding, moderate effort, general, active time only</s:t>
  </s:si>
  <s:si>
    <s:t>19170</s:t>
  </s:si>
  <s:si>
    <s:t>Skiing, downhill, alpine or snowboarding, vigorous effort, active time only</s:t>
  </s:si>
  <s:si>
    <s:t>19174</s:t>
  </s:si>
  <s:si>
    <s:t>Skiing, Alpine skiing high-intensity training</s:t>
  </s:si>
  <s:si>
    <s:t>19180</s:t>
  </s:si>
  <s:si>
    <s:t>Sledding, tobogganing, bobsledding, luge (Taylor Code 370)</s:t>
  </s:si>
  <s:si>
    <s:t>19190</s:t>
  </s:si>
  <s:si>
    <s:t>Snow shoeing, moderate effort</s:t>
  </s:si>
  <s:si>
    <s:t>19192</s:t>
  </s:si>
  <s:si>
    <s:t>Snow shoeing, vigorous effort</s:t>
  </s:si>
  <s:si>
    <s:t>19200</s:t>
  </s:si>
  <s:si>
    <s:t>Snowmobiling, driving, moderate pace, flat land</s:t>
  </s:si>
  <s:si>
    <s:t>19201</s:t>
  </s:si>
  <s:si>
    <s:t>Snowboarding, recreational, moderate pace, mountain</s:t>
  </s:si>
  <s:si>
    <s:t>19202</s:t>
  </s:si>
  <s:si>
    <s:t>Snowmobiling, passenger, light</s:t>
  </s:si>
  <s:si>
    <s:t>19252</s:t>
  </s:si>
  <s:si>
    <s:t>Snow shoveling, by hand, moderate effort</s:t>
  </s:si>
  <s:si>
    <s:t>19254</s:t>
  </s:si>
  <s:si>
    <s:t>Snow shoveling, by hand, vigorous effort</s:t>
  </s:si>
  <s:si>
    <s:t>19260</s:t>
  </s:si>
  <s:si>
    <s:t>Snow blower, walking and pushing</s:t>
  </s:si>
  <s:si>
    <s:t>19300</s:t>
  </s:si>
  <s:si>
    <s:t>Skiing, roller, elite racers</s:t>
  </s:si>
  <s:si>
    <s:t>19305</s:t>
  </s:si>
  <s:si>
    <s:t>Rollerskiing, 10 - 12.9 km/h, no incline</s:t>
  </s:si>
  <s:si>
    <s:t>19310</s:t>
  </s:si>
  <s:si>
    <s:t>Rollerskiing, 13 - 16.9 km/h, no incline</s:t>
  </s:si>
  <s:si>
    <s:t>19315</s:t>
  </s:si>
  <s:si>
    <s:t>Rollerskiing, 17 - 19.9 km/h, no incline</s:t>
  </s:si>
  <s:si>
    <s:t>19320</s:t>
  </s:si>
  <s:si>
    <s:t>Rollerskiing, 20 - 23.9 km/h, no incline</s:t>
  </s:si>
  <s:si>
    <s:t>19325</s:t>
  </s:si>
  <s:si>
    <s:t>Rollerskiing, 24 - 27.9 km/h, no incline</s:t>
  </s:si>
  <s:si>
    <s:t>19330</s:t>
  </s:si>
  <s:si>
    <s:t>Rollerskiing, 10-15 km/h, 2-5 degree incline</s:t>
  </s:si>
  <s:si>
    <s:t>19335</s:t>
  </s:si>
  <s:si>
    <s:t>Rollerskiing, 16-22 km/h, 2-5 degree incline</s:t>
  </s:si>
  <s:si>
    <s:t>19340</s:t>
  </s:si>
  <s:si>
    <s:t>Rollerskiing, 6-9 km/h, 6-10 degree incline</s:t>
  </s:si>
  <s:si>
    <s:t>19345</s:t>
  </s:si>
  <s:si>
    <s:t>Rollerskiing, &gt;10 km/h, 6-10 degree incline</s:t>
  </s:si>
  <s:si>
    <s:t>19400</s:t>
  </s:si>
  <s:si>
    <s:t>Mountaineering, downhill climbing, walking down with rope</s:t>
  </s:si>
  <s:si>
    <s:t>19405</s:t>
  </s:si>
  <s:si>
    <s:t>Mountaineering, downhill climbing/cross-country skiing Religious Activities 20000 1.0 Sitting in church, in service, attending a ceremony, sitting quietly Religious Activities 20001 2.0 Sitting, playing an instrument at church Religious Activities 20005 1.8 Sitting in church, talking or singing, attending a ceremony, sitting, active participation Religious Activities 20010 1.5 Sitting, reading religious materials at home Religious Activities 20015 1.3 Standing quietly in church, attending a ceremony Religious Activities 20020 2.0 Standing, singing in church, attending a ceremony, standing, active participation Religious Activities 20025 1.3 Kneeling in church or at home, praying Religious Activities 20030 1.3 Standing, talking in church Religious Activities 20035 2.0 Walking in church Religious Activities 20036 2.0 Walking, less than 2.0 mph, very slow Religious Activities 20037 3.8 Walking, 2.8 to 3.4 mph, moderate speed, not carrying anything Religious Activities 20038 4.8 Walking, 3.5 to 3.9 mph, brisk speed, not carrying anything Religious Activities 20039 2.0 Walk/stand combination for religious purposes, usher Religious Activities 20040 5.0 Praise with dance or run, spiritual dancing in church Religious Activities 20045 2.3 Serving food at church Religious Activities 20046 2.0 Preparing food at church Religious Activities 20047 3.3 Washing dishes, cleaning kitchen at church Religious Activities 20050 1.5 Eating at church Religious Activities 20055 2.0 Eating/talking at church or standing eating, American Indian Feast days Religious Activities 20060 3.3 Cleaning church Religious Activities 20061 4.0 General yard work at church Religious Activities 20065 3.8 Standing , moderate effort (e.g., lifting heavy objects, assembling at fast rate) Religious Activities 20095 4.5 Standing, moderate-to-heavy effort, manual labor, lifting ≥ 50 lbs, heavy maintenance Religious Activities 20100 1.3 Typing, electric, manual, or computer Volunteer Activities 21000 1.3 Sitting, meeting, general, and/or with talking involved Volunteer Activities 21005 1.5 Sitting, light office work, in general Volunteer Activities 21010 2.5 Sitting, moderate work Volunteer Activities 21015 1.8 Standing, light work (filing, talking, assembling) Volunteer Activities 21016 2.0 Sitting, child care, only active periods Volunteer Activities 21017 3.5 Standing, child care, only active periods Volunteer Activities 21018 3.5 Walk/run play with children, moderate, only active periods Volunteer Activities 21019 5.8 Walk/run play with children, vigorous, only active periods Volunteer Activities 21020 3.3 Standing, light/moderate work (e.g., pack boxes, assemble/repair, set up chairs/furniture) Volunteer Activities 21025 3.5 Standing, moderate (e.g., lifting 50 lbs., assembling at fast rate) Volunteer Activities 21030 4.5 Standing, moderate/heavy work Volunteer Activities 21035 1.3 Typing, electric, manual, or computer Volunteer Activities 21040 2.3 Walking, less than 2.0 mph, very slow Volunteer Activities 21045 3.8 Walking, 2.8 to 3.4 mph, moderate speed, not carrying anything Volunteer Activities 21050 4.8 Walking, 3.5 to 3.9 mph, brisk speed, not carrying anything Volunteer Activities 21055 3.5 Walking, 2.5 mph slowly and carrying objects less than 25 pounds Volunteer Activities 21060 4.5 Walking, 3.0 mph moderately and carrying objects less than 25 pounds, pushing something Volunteer Activities 21065 4.5 Walking, 3.5 mph, briskly and carrying objects less than 25 pounds Volunteer Activities 21070 3.0 Walk/stand combination, for volunteer purposes Video Games 22040 1.3 Seated, video game, handheld controller (inactive) Video Games 22120 1.5 Video game, handheld controller (light effort) Video Games 22160 2.3 Video game, light effort (Wii Fit, yoga, bowling, etc) Video Games 22200 3.0 Active video game, motion sensing game/using upper body (light to moderate effort) Video Games 22240 4.0 Active video game, motion sensing game/using total body (moderate effort) Video Games 22280 5.0 Active video game, motion sensing game/using total body (moderate-to-vigorous effort) Video Games 22320 7.5 Active video game, motion sensing game/using total body, exergames, workouts, dancing (vigorous effort) Video Games 22360 9.8 Conditioning/exercise virtual reality fitness, vigorous intensity</s:t>
  </s:si>
  <s:si>
    <s:t>Ккал/мин при 70 кг</s:t>
  </s:si>
  <s:si>
    <s:t>возраст</s:t>
  </s:si>
  <s:si>
    <s:t>BMR (м)</s:t>
  </s:si>
  <s:si>
    <s:t>BMR (ж)</s:t>
  </s:si>
  <s:si>
    <s:t xml:space="preserve">возраст </s:t>
  </s:si>
  <s:si>
    <s:t>рост (см)</s:t>
  </s:si>
  <s:si>
    <s:t>TDC (без тренировки)</s:t>
  </s:si>
  <s:si>
    <s:t>TDC (с тренировкой)</s:t>
  </s:si>
  <s:si>
    <s:t xml:space="preserve">минуты за теринровку </s:t>
  </s:si>
  <s:si>
    <s:t>минуты за тренировку</s:t>
  </s:si>
  <s:si>
    <s:t xml:space="preserve">дефицит/профицит </s:t>
  </s:si>
  <s:si>
    <s:t>10%</s:t>
  </s:si>
</s:sst>
</file>

<file path=xl/styles.xml><?xml version="1.0" encoding="utf-8"?>
<s:styleSheet xmlns:xr="http://schemas.microsoft.com/office/spreadsheetml/2014/revision" xmlns:unk1="http://schemas.microsoft.com/office/spreadsheetml/2010/11/main" xmlns:x16r2="http://schemas.microsoft.com/office/spreadsheetml/2015/02/main" xmlns:mc="http://schemas.openxmlformats.org/markup-compatibility/2006" xmlns:x14="http://schemas.microsoft.com/office/spreadsheetml/2009/9/main" xmlns:s="http://schemas.openxmlformats.org/spreadsheetml/2006/main" xmlns:x14ac="http://schemas.microsoft.com/office/spreadsheetml/2009/9/ac" mc:Ignorable="x14ac x16r2 xr">
  <s:numFmts count="1">
    <s:numFmt numFmtId="164" formatCode="0.0"/>
  </s:numFmts>
  <s:fonts x14ac:knownFonts="1" count="3">
    <s:font>
      <s:name val="Calibri"/>
      <s:family val="2"/>
      <s:color theme="1"/>
      <s:sz val="11"/>
      <s:scheme val="minor"/>
    </s:font>
    <s:font>
      <s:name val="Calibri"/>
      <s:family val="2"/>
      <s:b val="1"/>
      <s:sz val="16"/>
    </s:font>
    <s:font>
      <s:name val="Calibri"/>
      <s:family val="2"/>
      <s:b val="1"/>
      <s:sz val="11"/>
    </s:font>
  </s:fonts>
  <s:fills count="6">
    <s:fill>
      <s:patternFill patternType="none"/>
    </s:fill>
    <s:fill>
      <s:patternFill patternType="gray125"/>
    </s:fill>
    <s:fill>
      <s:patternFill patternType="solid">
        <s:fgColor rgb="FFD9EAF7"/>
      </s:patternFill>
    </s:fill>
    <s:fill>
      <s:patternFill patternType="solid">
        <s:fgColor rgb="FFFFF2CC"/>
      </s:patternFill>
    </s:fill>
    <s:fill>
      <s:patternFill patternType="solid">
        <s:fgColor rgb="FFE2F0D9"/>
      </s:patternFill>
    </s:fill>
    <s:fill>
      <s:patternFill patternType="solid">
        <s:fgColor rgb="FFFFFF00"/>
        <s:bgColor indexed="64"/>
      </s:patternFill>
    </s:fill>
  </s:fills>
  <s:borders count="3">
    <s:border>
      <s:left/>
      <s:right/>
      <s:top/>
      <s:bottom/>
      <s:diagonal/>
    </s:border>
    <s:border>
      <s:left/>
      <s:right/>
      <s:top/>
      <s:bottom style="thin">
        <s:color rgb="FFB7B7B7"/>
      </s:bottom>
      <s:diagonal/>
    </s:border>
    <s:border>
      <s:left style="thin">
        <s:color indexed="64"/>
      </s:left>
      <s:right style="thin">
        <s:color indexed="64"/>
      </s:right>
      <s:top style="thin">
        <s:color indexed="64"/>
      </s:top>
      <s:bottom style="thin">
        <s:color indexed="64"/>
      </s:bottom>
      <s:diagonal/>
    </s:border>
  </s:borders>
  <s:cellStyleXfs count="1">
    <s:xf numFmtId="0" fontId="0" fillId="0" borderId="0"/>
  </s:cellStyleXfs>
  <s:cellXfs count="16">
    <s:xf numFmtId="0" fontId="0" fillId="0" borderId="0" xfId="0"/>
    <s:xf numFmtId="0" fontId="2" fillId="2" borderId="1" xfId="0" applyFont="1" applyFill="1" applyBorder="1"/>
    <s:xf numFmtId="164" fontId="0" fillId="3" borderId="1" xfId="0" applyNumberFormat="1" applyFill="1" applyBorder="1"/>
    <s:xf numFmtId="0" fontId="0" fillId="3" borderId="1" xfId="0" applyFill="1" applyBorder="1"/>
    <s:xf numFmtId="164" fontId="0" fillId="4" borderId="1" xfId="0" applyNumberFormat="1" applyFill="1" applyBorder="1"/>
    <s:xf numFmtId="2" fontId="0" fillId="4" borderId="1" xfId="0" applyNumberFormat="1" applyFill="1" applyBorder="1"/>
    <s:xf numFmtId="0" fontId="2" fillId="2" borderId="0" xfId="0" applyFont="1" applyFill="1"/>
    <s:xf numFmtId="0" fontId="0" fillId="0" borderId="2" xfId="0" applyBorder="1"/>
    <s:xf numFmtId="1" fontId="0" fillId="0" borderId="2" xfId="0" applyNumberFormat="1" applyBorder="1"/>
    <s:xf numFmtId="0" fontId="0" fillId="5" borderId="2" xfId="0" applyFill="1" applyBorder="1"/>
    <s:xf numFmtId="1" fontId="0" fillId="5" borderId="2" xfId="0" applyNumberFormat="1" applyFill="1" applyBorder="1"/>
    <s:xf numFmtId="0" fontId="1" fillId="0" borderId="0" xfId="0" applyFont="1"/>
    <s:xf numFmtId="0" fontId="0" fillId="0" borderId="0" xfId="0"/>
    <s:xf numFmtId="49" fontId="0" fillId="5" borderId="2" xfId="0" applyNumberFormat="1" applyFill="1" applyBorder="1"/>
    <s:xf numFmtId="0" fontId="0" fillId="3" borderId="1" xfId="0" applyNumberFormat="1" applyFill="1" applyBorder="1"/>
    <s:xf numFmtId="0" fontId="0" fillId="5" borderId="2" xfId="0" applyNumberFormat="1" applyFill="1" applyBorder="1"/>
  </s:cellXfs>
  <s:cellStyles count="1">
    <s:cellStyle name="Обычный" xfId="0" builtinId="0"/>
  </s:cellStyles>
  <s:dxfs count="0"/>
  <s:tableStyles count="0" defaultTableStyle="TableStyleMedium9" defaultPivotStyle="PivotStyleLight16"/>
  <s:extLst>
    <s:ext uri="{EB79DEF2-80B8-43e5-95BD-54CBDDF9020C}">
      <x14:slicerStyles defaultSlicerStyle="SlicerStyleLight1"/>
    </s:ext>
    <s:ext uri="{9260A510-F301-46a8-8635-F512D64BE5F5}">
      <unk1:timelineStyles defaultTimelineStyle="TimeSlicerStyleLight1"/>
    </s:ext>
  </s:extLst>
</s:styleSheet>
</file>

<file path=xl/_rels/workbook.xml.rels><?xml version="1.0" ?><Relationships xmlns="http://schemas.openxmlformats.org/package/2006/relationships"><Relationship Id="rId6" Type="http://schemas.openxmlformats.org/officeDocument/2006/relationships/sharedStrings" Target="sharedStrings.xml"/><Relationship Id="rId4" Type="http://schemas.openxmlformats.org/officeDocument/2006/relationships/styles" Target="styles.xml"/><Relationship Target="theme/theme1.xml" Type="http://schemas.openxmlformats.org/officeDocument/2006/relationships/theme" Id="rId5"/><Relationship Target="metadata.xml" Type="http://schemas.openxmlformats.org/officeDocument/2006/relationships/sheetMetadata" Id="rId7"/><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Uigh" typeface="Microsoft Uighur"/>
      </a:majorFont>
      <a:minorFont>
        <a:latin typeface="Calibri"/>
        <a:ea typeface=""/>
        <a:cs typeface=""/>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4999"/>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s:worksheet xmlns:vyd="http://volga.yandex.com/schemas/document/model" xmlns:xr="http://schemas.microsoft.com/office/spreadsheetml/2014/revision" xmlns:mc="http://schemas.openxmlformats.org/markup-compatibility/2006" xmlns:xr3="http://schemas.microsoft.com/office/spreadsheetml/2016/revision3" xmlns:s="http://schemas.openxmlformats.org/spreadsheetml/2006/main" xmlns:xr2="http://schemas.microsoft.com/office/spreadsheetml/2015/revision2" xmlns:x14ac="http://schemas.microsoft.com/office/spreadsheetml/2009/9/ac" mc:Ignorable="x14ac xr xr2 xr3" xr:uid="{00000000-0001-0000-0000-000000000000}">
  <s:dimension ref="A1:E17"/>
  <s:sheetViews>
    <s:sheetView tabSelected="0" zoomScale="204" zoomScaleNormal="204" workbookViewId="0">
      <s:pane ySplit="2" topLeftCell="A3" activePane="bottomLeft" state="frozen"/>
      <s:selection pane="bottomLeft" activeCell="E5" sqref="E5"/>
    </s:sheetView>
  </s:sheetViews>
  <s:sheetFormatPr x14ac:dyDescent="0.2" baseColWidth="10" defaultColWidth="8.832" defaultRowHeight="15"/>
  <s:cols>
    <s:col min="1" max="1" width="28" customWidth="1"/>
    <s:col min="2" max="2" width="65" customWidth="1"/>
    <s:col min="4" max="4" width="18.664" customWidth="1"/>
  </s:cols>
  <s:sheetData>
    <s:row x14ac:dyDescent="0.25" r="1" spans="1:5" ht="21">
      <s:c r="A1" s="11" t="s">
        <s:v>0</s:v>
      </s:c>
      <s:c r="B1" s="12"/>
      <s:c r="C1" s="12"/>
      <s:c r="D1" s="12"/>
    </s:row>
    <s:row x14ac:dyDescent="0.2" r="3" spans="1:5">
      <s:c r="A3" s="1" t="s">
        <s:v>1</s:v>
      </s:c>
      <s:c r="B3" s="2">
        <s:v>102</s:v>
      </s:c>
      <s:c r="D3" s="9" t="s">
        <s:v>2155</s:v>
      </s:c>
      <s:c r="E3" s="10">
        <s:f validation_="true">(10*B3)+(6.25*E7)-(5*E8+5)</s:f>
        <s:v>2002.5</s:v>
      </s:c>
    </s:row>
    <s:row x14ac:dyDescent="0.2" r="4" spans="1:5">
      <s:c r="A4" s="1" t="s">
        <s:v>2</s:v>
      </s:c>
      <s:c r="B4" s="14" t="s">
        <s:v>98</s:v>
      </s:c>
      <s:c r="D4" s="9" t="s">
        <s:v>2159</s:v>
      </s:c>
      <s:c r="E4" s="15">
        <s:f validation_="true">(E3*1.2)</s:f>
        <s:v>2403</s:v>
      </s:c>
    </s:row>
    <s:row x14ac:dyDescent="0.2" r="5" spans="1:5">
      <s:c r="A5" s="1" t="s">
        <s:v>4</s:v>
      </s:c>
      <s:c r="B5" s="4" cm="1">
        <s:f t="array" ref="B5" validation_="true">IFERROR(INDEX('Данные MET'!$C$2:$C$1061,MATCH(B4,'Данные MET'!$D$2:$D$1061,0)),"")</s:f>
        <s:v>9</s:v>
      </s:c>
      <s:c r="D5" s="9" t="s">
        <s:v>2160</s:v>
      </s:c>
      <s:c r="E5" s="10">
        <s:f validation_="true">(E3*1.2)+B6*E9</s:f>
        <s:v>2884.95</s:v>
      </s:c>
    </s:row>
    <s:row x14ac:dyDescent="0.2" r="6" spans="1:5">
      <s:c r="A6" s="1" t="s">
        <s:v>5</s:v>
      </s:c>
      <s:c r="B6" s="5">
        <s:f>IFERROR(B5*3.5*B3/200,"")</s:f>
        <s:v>16.065</s:v>
      </s:c>
      <s:c r="D6" s="9" t="s">
        <s:v>2163</s:v>
      </s:c>
      <s:c r="E6" s="13" t="s">
        <s:v>2164</s:v>
      </s:c>
    </s:row>
    <s:row x14ac:dyDescent="0.2" r="7" spans="1:5">
      <s:c r="A7" s="1" t="s">
        <s:v>6</s:v>
      </s:c>
      <s:c r="B7" s="4">
        <s:f>IFERROR(B6*30,"")</s:f>
        <s:v>481.95</s:v>
      </s:c>
      <s:c r="D7" s="7" t="s">
        <s:v>2158</s:v>
      </s:c>
      <s:c r="E7" s="7">
        <s:v>178</s:v>
      </s:c>
    </s:row>
    <s:row x14ac:dyDescent="0.2" r="8" spans="1:5">
      <s:c r="A8" s="1" t="s">
        <s:v>7</s:v>
      </s:c>
      <s:c r="B8" s="4">
        <s:f>IFERROR(B6*60,"")</s:f>
        <s:v>963.9</s:v>
      </s:c>
      <s:c r="D8" s="7" t="s">
        <s:v>2154</s:v>
      </s:c>
      <s:c r="E8" s="7">
        <s:v>25</s:v>
      </s:c>
    </s:row>
    <s:row x14ac:dyDescent="0.2" r="9" spans="1:5">
      <s:c r="D9" s="7" t="s">
        <s:v>2162</s:v>
      </s:c>
      <s:c r="E9" s="7">
        <s:v>30</s:v>
      </s:c>
    </s:row>
    <s:row x14ac:dyDescent="0.2" r="10" spans="1:5">
      <s:c r="A10" s="1" t="s">
        <s:v>8</s:v>
      </s:c>
      <s:c r="B10" t="s">
        <s:v>9</s:v>
      </s:c>
    </s:row>
    <s:row x14ac:dyDescent="0.2" r="11" spans="1:5">
      <s:c r="A11" s="1" t="s">
        <s:v>10</s:v>
      </s:c>
      <s:c r="B11" t="s">
        <s:v>11</s:v>
      </s:c>
    </s:row>
    <s:row x14ac:dyDescent="0.2" r="12" spans="1:5">
      <s:c r="D12" s="7" t="s">
        <s:v>2156</s:v>
      </s:c>
      <s:c r="E12" s="8">
        <s:f validation_="true">(10*B3)+(6.25*E15)-(5*E16)-161</s:f>
        <s:v>1846.5</s:v>
      </s:c>
    </s:row>
    <s:row x14ac:dyDescent="0.2" r="13" spans="1:5">
      <s:c r="D13" s="7" t="s">
        <s:v>2159</s:v>
      </s:c>
      <s:c r="E13" s="8">
        <s:f>(E12*1.2)</s:f>
        <s:v>2215.79999999999</s:v>
      </s:c>
    </s:row>
    <s:row x14ac:dyDescent="0.2" r="14" spans="1:5">
      <s:c r="D14" s="7" t="s">
        <s:v>2160</s:v>
      </s:c>
      <s:c r="E14" s="8">
        <s:f>(E12*1.2)+B6*E17</s:f>
        <s:v>2697.75</s:v>
      </s:c>
    </s:row>
    <s:row x14ac:dyDescent="0.2" r="15" spans="1:5">
      <s:c r="D15" s="7" t="s">
        <s:v>2158</s:v>
      </s:c>
      <s:c r="E15" s="7">
        <s:v>190</s:v>
      </s:c>
    </s:row>
    <s:row x14ac:dyDescent="0.2" r="16" spans="1:5">
      <s:c r="D16" s="7" t="s">
        <s:v>2157</s:v>
      </s:c>
      <s:c r="E16" s="7">
        <s:v>40</s:v>
      </s:c>
    </s:row>
    <s:row x14ac:dyDescent="0.2" r="17" spans="4:5">
      <s:c r="D17" s="7" t="s">
        <s:v>2161</s:v>
      </s:c>
      <s:c r="E17" s="7">
        <s:v>30</s:v>
      </s:c>
    </s:row>
  </s:sheetData>
  <s:mergeCells count="1">
    <s:mergeCell ref="A1:D1"/>
  </s:mergeCells>
  <s:dataValidations disablePrompts="1" count="2">
    <s:dataValidation xr:uid="{00000000-0002-0000-0000-000001000000}" type="decimal" error="Введите массу тела от 1 до 500 кг." sqref="B3" vyd:viewType="arrow" mc:Ignorable="vyd">
      <s:formula1>1</s:formula1>
      <s:formula2>500</s:formula2>
    </s:dataValidation>
    <s:dataValidation type="list" sqref="B4" vyd:viewType="arrow" mc:Ignorable="vyd">
      <s:formula1>'Данные MET'!$D$2:$D$1061</s:formula1>
    </s:dataValidation>
  </s:dataValidations>
  <s:pageMargins left="0.75" right="0.75" top="1" bottom="1" header="0.5" footer="0.5"/>
  <s:extLst>
    <s:ext uri="{CCE6A557-97BC-4b89-ADB6-D9C93CAAB3DF}"/>
  </s:extLst>
</s:worksheet>
</file>

<file path=xl/worksheets/sheet2.xml><?xml version="1.0" encoding="utf-8"?>
<s:worksheet xmlns:x14ac="http://schemas.microsoft.com/office/spreadsheetml/2009/9/ac" xmlns:mc="http://schemas.openxmlformats.org/markup-compatibility/2006" xmlns:xr3="http://schemas.microsoft.com/office/spreadsheetml/2016/revision3" xmlns:xr2="http://schemas.microsoft.com/office/spreadsheetml/2015/revision2" xmlns:s="http://schemas.openxmlformats.org/spreadsheetml/2006/main" xmlns:xr="http://schemas.microsoft.com/office/spreadsheetml/2014/revision" mc:Ignorable="x14ac xr xr2 xr3" xr:uid="{00000000-0001-0000-0100-000000000000}">
  <s:dimension ref="A1:D1061"/>
  <s:sheetViews>
    <s:sheetView tabSelected="0" zoomScale="120" zoomScaleNormal="120" workbookViewId="0">
      <s:pane ySplit="1" topLeftCell="A696" activePane="bottomLeft" state="frozen"/>
      <s:selection pane="bottomLeft" activeCell="K754" sqref="K754"/>
    </s:sheetView>
  </s:sheetViews>
  <s:sheetFormatPr x14ac:dyDescent="0.2" baseColWidth="10" defaultColWidth="8.832" defaultRowHeight="15"/>
  <s:cols>
    <s:col min="1" max="1" width="24" customWidth="1"/>
    <s:col min="2" max="2" width="12" customWidth="1"/>
    <s:col min="3" max="3" width="10" customWidth="1"/>
    <s:col min="4" max="4" width="110" customWidth="1"/>
  </s:cols>
  <s:sheetData>
    <s:row x14ac:dyDescent="0.2" r="1" spans="1:4">
      <s:c r="A1" s="1" t="s">
        <s:v>12</s:v>
      </s:c>
      <s:c r="B1" s="1" t="s">
        <s:v>13</s:v>
      </s:c>
      <s:c r="C1" s="1" t="s">
        <s:v>4</s:v>
      </s:c>
      <s:c r="D1" s="1" t="s">
        <s:v>14</s:v>
      </s:c>
    </s:row>
    <s:row x14ac:dyDescent="0.2" r="2" spans="1:4">
      <s:c r="A2" t="s">
        <s:v>15</s:v>
      </s:c>
      <s:c r="B2" t="s">
        <s:v>16</s:v>
      </s:c>
      <s:c r="C2">
        <s:v>14</s:v>
      </s:c>
      <s:c r="D2" t="s">
        <s:v>3</s:v>
      </s:c>
    </s:row>
    <s:row x14ac:dyDescent="0.2" r="3" spans="1:4">
      <s:c r="A3" t="s">
        <s:v>15</s:v>
      </s:c>
      <s:c r="B3" t="s">
        <s:v>17</s:v>
      </s:c>
      <s:c r="C3">
        <s:v>16</s:v>
      </s:c>
      <s:c r="D3" t="s">
        <s:v>18</s:v>
      </s:c>
    </s:row>
    <s:row x14ac:dyDescent="0.2" r="4" spans="1:4">
      <s:c r="A4" t="s">
        <s:v>15</s:v>
      </s:c>
      <s:c r="B4" t="s">
        <s:v>19</s:v>
      </s:c>
      <s:c r="C4">
        <s:v>8.5</s:v>
      </s:c>
      <s:c r="D4" t="s">
        <s:v>20</s:v>
      </s:c>
    </s:row>
    <s:row x14ac:dyDescent="0.2" r="5" spans="1:4">
      <s:c r="A5" t="s">
        <s:v>15</s:v>
      </s:c>
      <s:c r="B5" t="s">
        <s:v>21</s:v>
      </s:c>
      <s:c r="C5">
        <s:v>8.5</s:v>
      </s:c>
      <s:c r="D5" t="s">
        <s:v>22</s:v>
      </s:c>
    </s:row>
    <s:row x14ac:dyDescent="0.2" r="6" spans="1:4">
      <s:c r="A6" t="s">
        <s:v>15</s:v>
      </s:c>
      <s:c r="B6" t="s">
        <s:v>23</s:v>
      </s:c>
      <s:c r="C6">
        <s:v>4</s:v>
      </s:c>
      <s:c r="D6" t="s">
        <s:v>24</s:v>
      </s:c>
    </s:row>
    <s:row x14ac:dyDescent="0.2" r="7" spans="1:4">
      <s:c r="A7" t="s">
        <s:v>15</s:v>
      </s:c>
      <s:c r="B7" t="s">
        <s:v>25</s:v>
      </s:c>
      <s:c r="C7">
        <s:v>6.8</s:v>
      </s:c>
      <s:c r="D7" t="s">
        <s:v>26</s:v>
      </s:c>
    </s:row>
    <s:row x14ac:dyDescent="0.2" r="8" spans="1:4">
      <s:c r="A8" t="s">
        <s:v>15</s:v>
      </s:c>
      <s:c r="B8" t="s">
        <s:v>27</s:v>
      </s:c>
      <s:c r="C8">
        <s:v>5.8</s:v>
      </s:c>
      <s:c r="D8" t="s">
        <s:v>28</s:v>
      </s:c>
    </s:row>
    <s:row x14ac:dyDescent="0.2" r="9" spans="1:4">
      <s:c r="A9" t="s">
        <s:v>15</s:v>
      </s:c>
      <s:c r="B9" t="s">
        <s:v>29</s:v>
      </s:c>
      <s:c r="C9">
        <s:v>7</s:v>
      </s:c>
      <s:c r="D9" t="s">
        <s:v>30</s:v>
      </s:c>
    </s:row>
    <s:row x14ac:dyDescent="0.2" r="10" spans="1:4">
      <s:c r="A10" t="s">
        <s:v>15</s:v>
      </s:c>
      <s:c r="B10" t="s">
        <s:v>31</s:v>
      </s:c>
      <s:c r="C10">
        <s:v>4.3</s:v>
      </s:c>
      <s:c r="D10" t="s">
        <s:v>32</s:v>
      </s:c>
    </s:row>
    <s:row x14ac:dyDescent="0.2" r="11" spans="1:4">
      <s:c r="A11" t="s">
        <s:v>15</s:v>
      </s:c>
      <s:c r="B11" t="s">
        <s:v>33</s:v>
      </s:c>
      <s:c r="C11">
        <s:v>7</s:v>
      </s:c>
      <s:c r="D11" t="s">
        <s:v>34</s:v>
      </s:c>
    </s:row>
    <s:row x14ac:dyDescent="0.2" r="12" spans="1:4">
      <s:c r="A12" t="s">
        <s:v>15</s:v>
      </s:c>
      <s:c r="B12" t="s">
        <s:v>35</s:v>
      </s:c>
      <s:c r="C12">
        <s:v>9</s:v>
      </s:c>
      <s:c r="D12" t="s">
        <s:v>36</s:v>
      </s:c>
    </s:row>
    <s:row x14ac:dyDescent="0.2" r="13" spans="1:4">
      <s:c r="A13" t="s">
        <s:v>15</s:v>
      </s:c>
      <s:c r="B13" t="s">
        <s:v>37</s:v>
      </s:c>
      <s:c r="C13">
        <s:v>3.5</s:v>
      </s:c>
      <s:c r="D13" t="s">
        <s:v>38</s:v>
      </s:c>
    </s:row>
    <s:row x14ac:dyDescent="0.2" r="14" spans="1:4">
      <s:c r="A14" t="s">
        <s:v>15</s:v>
      </s:c>
      <s:c r="B14" t="s">
        <s:v>39</s:v>
      </s:c>
      <s:c r="C14">
        <s:v>5.8</s:v>
      </s:c>
      <s:c r="D14" t="s">
        <s:v>40</s:v>
      </s:c>
    </s:row>
    <s:row x14ac:dyDescent="0.2" r="15" spans="1:4">
      <s:c r="A15" t="s">
        <s:v>15</s:v>
      </s:c>
      <s:c r="B15" t="s">
        <s:v>41</s:v>
      </s:c>
      <s:c r="C15">
        <s:v>6.8</s:v>
      </s:c>
      <s:c r="D15" t="s">
        <s:v>42</s:v>
      </s:c>
    </s:row>
    <s:row x14ac:dyDescent="0.2" r="16" spans="1:4">
      <s:c r="A16" t="s">
        <s:v>15</s:v>
      </s:c>
      <s:c r="B16" t="s">
        <s:v>43</s:v>
      </s:c>
      <s:c r="C16">
        <s:v>8</s:v>
      </s:c>
      <s:c r="D16" t="s">
        <s:v>44</s:v>
      </s:c>
    </s:row>
    <s:row x14ac:dyDescent="0.2" r="17" spans="1:4">
      <s:c r="A17" t="s">
        <s:v>15</s:v>
      </s:c>
      <s:c r="B17" t="s">
        <s:v>45</s:v>
      </s:c>
      <s:c r="C17">
        <s:v>10</s:v>
      </s:c>
      <s:c r="D17" t="s">
        <s:v>46</s:v>
      </s:c>
    </s:row>
    <s:row x14ac:dyDescent="0.2" r="18" spans="1:4">
      <s:c r="A18" t="s">
        <s:v>15</s:v>
      </s:c>
      <s:c r="B18" t="s">
        <s:v>47</s:v>
      </s:c>
      <s:c r="C18">
        <s:v>12</s:v>
      </s:c>
      <s:c r="D18" t="s">
        <s:v>48</s:v>
      </s:c>
    </s:row>
    <s:row x14ac:dyDescent="0.2" r="19" spans="1:4">
      <s:c r="A19" t="s">
        <s:v>15</s:v>
      </s:c>
      <s:c r="B19" t="s">
        <s:v>49</s:v>
      </s:c>
      <s:c r="C19">
        <s:v>16.8</s:v>
      </s:c>
      <s:c r="D19" t="s">
        <s:v>50</s:v>
      </s:c>
    </s:row>
    <s:row x14ac:dyDescent="0.2" r="20" spans="1:4">
      <s:c r="A20" t="s">
        <s:v>15</s:v>
      </s:c>
      <s:c r="B20" t="s">
        <s:v>51</s:v>
      </s:c>
      <s:c r="C20">
        <s:v>8.5</s:v>
      </s:c>
      <s:c r="D20" t="s">
        <s:v>52</s:v>
      </s:c>
    </s:row>
    <s:row x14ac:dyDescent="0.2" r="21" spans="1:4">
      <s:c r="A21" t="s">
        <s:v>15</s:v>
      </s:c>
      <s:c r="B21" t="s">
        <s:v>53</s:v>
      </s:c>
      <s:c r="C21">
        <s:v>9</s:v>
      </s:c>
      <s:c r="D21" t="s">
        <s:v>54</s:v>
      </s:c>
    </s:row>
    <s:row x14ac:dyDescent="0.2" r="22" spans="1:4">
      <s:c r="A22" t="s">
        <s:v>15</s:v>
      </s:c>
      <s:c r="B22" t="s">
        <s:v>55</s:v>
      </s:c>
      <s:c r="C22">
        <s:v>5</s:v>
      </s:c>
      <s:c r="D22" t="s">
        <s:v>56</s:v>
      </s:c>
    </s:row>
    <s:row x14ac:dyDescent="0.2" r="23" spans="1:4">
      <s:c r="A23" t="s">
        <s:v>15</s:v>
      </s:c>
      <s:c r="B23" t="s">
        <s:v>57</s:v>
      </s:c>
      <s:c r="C23">
        <s:v>6.8</s:v>
      </s:c>
      <s:c r="D23" t="s">
        <s:v>58</s:v>
      </s:c>
    </s:row>
    <s:row x14ac:dyDescent="0.2" r="24" spans="1:4">
      <s:c r="A24" t="s">
        <s:v>15</s:v>
      </s:c>
      <s:c r="B24" t="s">
        <s:v>59</s:v>
      </s:c>
      <s:c r="C24">
        <s:v>6</s:v>
      </s:c>
      <s:c r="D24" t="s">
        <s:v>60</s:v>
      </s:c>
    </s:row>
    <s:row x14ac:dyDescent="0.2" r="25" spans="1:4">
      <s:c r="A25" t="s">
        <s:v>15</s:v>
      </s:c>
      <s:c r="B25" t="s">
        <s:v>61</s:v>
      </s:c>
      <s:c r="C25">
        <s:v>4</s:v>
      </s:c>
      <s:c r="D25" t="s">
        <s:v>62</s:v>
      </s:c>
    </s:row>
    <s:row x14ac:dyDescent="0.2" r="26" spans="1:4">
      <s:c r="A26" t="s">
        <s:v>15</s:v>
      </s:c>
      <s:c r="B26" t="s">
        <s:v>63</s:v>
      </s:c>
      <s:c r="C26">
        <s:v>6.8</s:v>
      </s:c>
      <s:c r="D26" t="s">
        <s:v>64</s:v>
      </s:c>
    </s:row>
    <s:row x14ac:dyDescent="0.2" r="27" spans="1:4">
      <s:c r="A27" t="s">
        <s:v>15</s:v>
      </s:c>
      <s:c r="B27" t="s">
        <s:v>65</s:v>
      </s:c>
      <s:c r="C27">
        <s:v>3.5</s:v>
      </s:c>
      <s:c r="D27" t="s">
        <s:v>66</s:v>
      </s:c>
    </s:row>
    <s:row x14ac:dyDescent="0.2" r="28" spans="1:4">
      <s:c r="A28" t="s">
        <s:v>15</s:v>
      </s:c>
      <s:c r="B28" t="s">
        <s:v>67</s:v>
      </s:c>
      <s:c r="C28">
        <s:v>4</s:v>
      </s:c>
      <s:c r="D28" t="s">
        <s:v>68</s:v>
      </s:c>
    </s:row>
    <s:row x14ac:dyDescent="0.2" r="29" spans="1:4">
      <s:c r="A29" t="s">
        <s:v>15</s:v>
      </s:c>
      <s:c r="B29" t="s">
        <s:v>69</s:v>
      </s:c>
      <s:c r="C29">
        <s:v>5</s:v>
      </s:c>
      <s:c r="D29" t="s">
        <s:v>70</s:v>
      </s:c>
    </s:row>
    <s:row x14ac:dyDescent="0.2" r="30" spans="1:4">
      <s:c r="A30" t="s">
        <s:v>15</s:v>
      </s:c>
      <s:c r="B30" t="s">
        <s:v>71</s:v>
      </s:c>
      <s:c r="C30">
        <s:v>5.8</s:v>
      </s:c>
      <s:c r="D30" t="s">
        <s:v>72</s:v>
      </s:c>
    </s:row>
    <s:row x14ac:dyDescent="0.2" r="31" spans="1:4">
      <s:c r="A31" t="s">
        <s:v>15</s:v>
      </s:c>
      <s:c r="B31" t="s">
        <s:v>73</s:v>
      </s:c>
      <s:c r="C31">
        <s:v>6</s:v>
      </s:c>
      <s:c r="D31" t="s">
        <s:v>74</s:v>
      </s:c>
    </s:row>
    <s:row x14ac:dyDescent="0.2" r="32" spans="1:4">
      <s:c r="A32" t="s">
        <s:v>15</s:v>
      </s:c>
      <s:c r="B32" t="s">
        <s:v>75</s:v>
      </s:c>
      <s:c r="C32">
        <s:v>6.8</s:v>
      </s:c>
      <s:c r="D32" t="s">
        <s:v>76</s:v>
      </s:c>
    </s:row>
    <s:row x14ac:dyDescent="0.2" r="33" spans="1:4">
      <s:c r="A33" t="s">
        <s:v>15</s:v>
      </s:c>
      <s:c r="B33" t="s">
        <s:v>77</s:v>
      </s:c>
      <s:c r="C33">
        <s:v>8</s:v>
      </s:c>
      <s:c r="D33" t="s">
        <s:v>78</s:v>
      </s:c>
    </s:row>
    <s:row x14ac:dyDescent="0.2" r="34" spans="1:4">
      <s:c r="A34" t="s">
        <s:v>15</s:v>
      </s:c>
      <s:c r="B34" t="s">
        <s:v>79</s:v>
      </s:c>
      <s:c r="C34">
        <s:v>10.3</s:v>
      </s:c>
      <s:c r="D34" t="s">
        <s:v>80</s:v>
      </s:c>
    </s:row>
    <s:row x14ac:dyDescent="0.2" r="35" spans="1:4">
      <s:c r="A35" t="s">
        <s:v>15</s:v>
      </s:c>
      <s:c r="B35" t="s">
        <s:v>81</s:v>
      </s:c>
      <s:c r="C35">
        <s:v>10.8</s:v>
      </s:c>
      <s:c r="D35" t="s">
        <s:v>82</s:v>
      </s:c>
    </s:row>
    <s:row x14ac:dyDescent="0.2" r="36" spans="1:4">
      <s:c r="A36" t="s">
        <s:v>15</s:v>
      </s:c>
      <s:c r="B36" t="s">
        <s:v>83</s:v>
      </s:c>
      <s:c r="C36">
        <s:v>12.5</s:v>
      </s:c>
      <s:c r="D36" t="s">
        <s:v>84</s:v>
      </s:c>
    </s:row>
    <s:row x14ac:dyDescent="0.2" r="37" spans="1:4">
      <s:c r="A37" t="s">
        <s:v>15</s:v>
      </s:c>
      <s:c r="B37" t="s">
        <s:v>85</s:v>
      </s:c>
      <s:c r="C37">
        <s:v>13.8</s:v>
      </s:c>
      <s:c r="D37" t="s">
        <s:v>86</s:v>
      </s:c>
    </s:row>
    <s:row x14ac:dyDescent="0.2" r="38" spans="1:4">
      <s:c r="A38" t="s">
        <s:v>15</s:v>
      </s:c>
      <s:c r="B38" t="s">
        <s:v>87</s:v>
      </s:c>
      <s:c r="C38">
        <s:v>16.3</s:v>
      </s:c>
      <s:c r="D38" t="s">
        <s:v>88</s:v>
      </s:c>
    </s:row>
    <s:row x14ac:dyDescent="0.2" r="39" spans="1:4">
      <s:c r="A39" t="s">
        <s:v>15</s:v>
      </s:c>
      <s:c r="B39" t="s">
        <s:v>89</s:v>
      </s:c>
      <s:c r="C39">
        <s:v>5.5</s:v>
      </s:c>
      <s:c r="D39" t="s">
        <s:v>90</s:v>
      </s:c>
    </s:row>
    <s:row x14ac:dyDescent="0.2" r="40" spans="1:4">
      <s:c r="A40" t="s">
        <s:v>15</s:v>
      </s:c>
      <s:c r="B40" t="s">
        <s:v>91</s:v>
      </s:c>
      <s:c r="C40">
        <s:v>11</s:v>
      </s:c>
      <s:c r="D40" t="s">
        <s:v>92</s:v>
      </s:c>
    </s:row>
    <s:row x14ac:dyDescent="0.2" r="41" spans="1:4">
      <s:c r="A41" t="s">
        <s:v>15</s:v>
      </s:c>
      <s:c r="B41" t="s">
        <s:v>93</s:v>
      </s:c>
      <s:c r="C41">
        <s:v>2.2999999999999998</s:v>
      </s:c>
      <s:c r="D41" t="s">
        <s:v>94</s:v>
      </s:c>
    </s:row>
    <s:row x14ac:dyDescent="0.2" r="42" spans="1:4">
      <s:c r="A42" t="s">
        <s:v>15</s:v>
      </s:c>
      <s:c r="B42" t="s">
        <s:v>95</s:v>
      </s:c>
      <s:c r="C42">
        <s:v>4</s:v>
      </s:c>
      <s:c r="D42" t="s">
        <s:v>96</s:v>
      </s:c>
    </s:row>
    <s:row x14ac:dyDescent="0.2" r="43" spans="1:4">
      <s:c r="A43" t="s">
        <s:v>15</s:v>
      </s:c>
      <s:c r="B43" t="s">
        <s:v>97</s:v>
      </s:c>
      <s:c r="C43">
        <s:v>9</s:v>
      </s:c>
      <s:c r="D43" t="s">
        <s:v>98</s:v>
      </s:c>
    </s:row>
    <s:row x14ac:dyDescent="0.2" r="44" spans="1:4">
      <s:c r="A44" t="s">
        <s:v>15</s:v>
      </s:c>
      <s:c r="B44" t="s">
        <s:v>99</s:v>
      </s:c>
      <s:c r="C44">
        <s:v>8.8000000000000007</s:v>
      </s:c>
      <s:c r="D44" t="s">
        <s:v>100</s:v>
      </s:c>
    </s:row>
    <s:row x14ac:dyDescent="0.2" r="45" spans="1:4">
      <s:c r="A45" t="s">
        <s:v>15</s:v>
      </s:c>
      <s:c r="B45" t="s">
        <s:v>101</s:v>
      </s:c>
      <s:c r="C45">
        <s:v>8.8000000000000007</s:v>
      </s:c>
      <s:c r="D45" t="s">
        <s:v>102</s:v>
      </s:c>
    </s:row>
    <s:row x14ac:dyDescent="0.2" r="46" spans="1:4">
      <s:c r="A46" t="s">
        <s:v>103</s:v>
      </s:c>
      <s:c r="B46" t="s">
        <s:v>104</s:v>
      </s:c>
      <s:c r="C46">
        <s:v>7.3</s:v>
      </s:c>
      <s:c r="D46" t="s">
        <s:v>105</s:v>
      </s:c>
    </s:row>
    <s:row x14ac:dyDescent="0.2" r="47" spans="1:4">
      <s:c r="A47" t="s">
        <s:v>103</s:v>
      </s:c>
      <s:c r="B47" t="s">
        <s:v>106</s:v>
      </s:c>
      <s:c r="C47">
        <s:v>5.5</s:v>
      </s:c>
      <s:c r="D47" t="s">
        <s:v>107</s:v>
      </s:c>
    </s:row>
    <s:row x14ac:dyDescent="0.2" r="48" spans="1:4">
      <s:c r="A48" t="s">
        <s:v>103</s:v>
      </s:c>
      <s:c r="B48" t="s">
        <s:v>108</s:v>
      </s:c>
      <s:c r="C48">
        <s:v>7.3</s:v>
      </s:c>
      <s:c r="D48" t="s">
        <s:v>109</s:v>
      </s:c>
    </s:row>
    <s:row x14ac:dyDescent="0.2" r="49" spans="1:4">
      <s:c r="A49" t="s">
        <s:v>103</s:v>
      </s:c>
      <s:c r="B49" t="s">
        <s:v>110</s:v>
      </s:c>
      <s:c r="C49">
        <s:v>9</s:v>
      </s:c>
      <s:c r="D49" t="s">
        <s:v>111</s:v>
      </s:c>
    </s:row>
    <s:row x14ac:dyDescent="0.2" r="50" spans="1:4">
      <s:c r="A50" t="s">
        <s:v>103</s:v>
      </s:c>
      <s:c r="B50" t="s">
        <s:v>112</s:v>
      </s:c>
      <s:c r="C50">
        <s:v>7.8</s:v>
      </s:c>
      <s:c r="D50" t="s">
        <s:v>113</s:v>
      </s:c>
    </s:row>
    <s:row x14ac:dyDescent="0.2" r="51" spans="1:4">
      <s:c r="A51" t="s">
        <s:v>103</s:v>
      </s:c>
      <s:c r="B51" t="s">
        <s:v>114</s:v>
      </s:c>
      <s:c r="C51">
        <s:v>4.8</s:v>
      </s:c>
      <s:c r="D51" t="s">
        <s:v>115</s:v>
      </s:c>
    </s:row>
    <s:row x14ac:dyDescent="0.2" r="52" spans="1:4">
      <s:c r="A52" t="s">
        <s:v>103</s:v>
      </s:c>
      <s:c r="B52" t="s">
        <s:v>116</s:v>
      </s:c>
      <s:c r="C52">
        <s:v>8</s:v>
      </s:c>
      <s:c r="D52" t="s">
        <s:v>117</s:v>
      </s:c>
    </s:row>
    <s:row x14ac:dyDescent="0.2" r="53" spans="1:4">
      <s:c r="A53" t="s">
        <s:v>103</s:v>
      </s:c>
      <s:c r="B53" t="s">
        <s:v>118</s:v>
      </s:c>
      <s:c r="C53">
        <s:v>10</s:v>
      </s:c>
      <s:c r="D53" t="s">
        <s:v>119</s:v>
      </s:c>
    </s:row>
    <s:row x14ac:dyDescent="0.2" r="54" spans="1:4">
      <s:c r="A54" t="s">
        <s:v>103</s:v>
      </s:c>
      <s:c r="B54" t="s">
        <s:v>120</s:v>
      </s:c>
      <s:c r="C54">
        <s:v>5</s:v>
      </s:c>
      <s:c r="D54" t="s">
        <s:v>121</s:v>
      </s:c>
    </s:row>
    <s:row x14ac:dyDescent="0.2" r="55" spans="1:4">
      <s:c r="A55" t="s">
        <s:v>103</s:v>
      </s:c>
      <s:c r="B55" t="s">
        <s:v>122</s:v>
      </s:c>
      <s:c r="C55">
        <s:v>7.5</s:v>
      </s:c>
      <s:c r="D55" t="s">
        <s:v>123</s:v>
      </s:c>
    </s:row>
    <s:row x14ac:dyDescent="0.2" r="56" spans="1:4">
      <s:c r="A56" t="s">
        <s:v>103</s:v>
      </s:c>
      <s:c r="B56" t="s">
        <s:v>124</s:v>
      </s:c>
      <s:c r="C56">
        <s:v>3.8</s:v>
      </s:c>
      <s:c r="D56" t="s">
        <s:v>125</s:v>
      </s:c>
    </s:row>
    <s:row x14ac:dyDescent="0.2" r="57" spans="1:4">
      <s:c r="A57" t="s">
        <s:v>103</s:v>
      </s:c>
      <s:c r="B57" t="s">
        <s:v>126</s:v>
      </s:c>
      <s:c r="C57">
        <s:v>2.8</s:v>
      </s:c>
      <s:c r="D57" t="s">
        <s:v>127</s:v>
      </s:c>
    </s:row>
    <s:row x14ac:dyDescent="0.2" r="58" spans="1:4">
      <s:c r="A58" t="s">
        <s:v>103</s:v>
      </s:c>
      <s:c r="B58" t="s">
        <s:v>128</s:v>
      </s:c>
      <s:c r="C58">
        <s:v>3.5</s:v>
      </s:c>
      <s:c r="D58" t="s">
        <s:v>129</s:v>
      </s:c>
    </s:row>
    <s:row x14ac:dyDescent="0.2" r="59" spans="1:4">
      <s:c r="A59" t="s">
        <s:v>103</s:v>
      </s:c>
      <s:c r="B59" t="s">
        <s:v>130</s:v>
      </s:c>
      <s:c r="C59">
        <s:v>6</s:v>
      </s:c>
      <s:c r="D59" t="s">
        <s:v>131</s:v>
      </s:c>
    </s:row>
    <s:row x14ac:dyDescent="0.2" r="60" spans="1:4">
      <s:c r="A60" t="s">
        <s:v>103</s:v>
      </s:c>
      <s:c r="B60" t="s">
        <s:v>132</s:v>
      </s:c>
      <s:c r="C60">
        <s:v>3.5</s:v>
      </s:c>
      <s:c r="D60" t="s">
        <s:v>133</s:v>
      </s:c>
    </s:row>
    <s:row x14ac:dyDescent="0.2" r="61" spans="1:4">
      <s:c r="A61" t="s">
        <s:v>103</s:v>
      </s:c>
      <s:c r="B61" t="s">
        <s:v>134</s:v>
      </s:c>
      <s:c r="C61">
        <s:v>5</s:v>
      </s:c>
      <s:c r="D61" t="s">
        <s:v>135</s:v>
      </s:c>
    </s:row>
    <s:row x14ac:dyDescent="0.2" r="62" spans="1:4">
      <s:c r="A62" t="s">
        <s:v>103</s:v>
      </s:c>
      <s:c r="B62" t="s">
        <s:v>136</s:v>
      </s:c>
      <s:c r="C62">
        <s:v>7.5</s:v>
      </s:c>
      <s:c r="D62" t="s">
        <s:v>137</s:v>
      </s:c>
    </s:row>
    <s:row x14ac:dyDescent="0.2" r="63" spans="1:4">
      <s:c r="A63" t="s">
        <s:v>103</s:v>
      </s:c>
      <s:c r="B63" t="s">
        <s:v>138</s:v>
      </s:c>
      <s:c r="C63">
        <s:v>3.5</s:v>
      </s:c>
      <s:c r="D63" t="s">
        <s:v>139</s:v>
      </s:c>
    </s:row>
    <s:row x14ac:dyDescent="0.2" r="64" spans="1:4">
      <s:c r="A64" t="s">
        <s:v>103</s:v>
      </s:c>
      <s:c r="B64" t="s">
        <s:v>140</s:v>
      </s:c>
      <s:c r="C64">
        <s:v>5</s:v>
      </s:c>
      <s:c r="D64" t="s">
        <s:v>141</s:v>
      </s:c>
    </s:row>
    <s:row x14ac:dyDescent="0.2" r="65" spans="1:4">
      <s:c r="A65" t="s">
        <s:v>103</s:v>
      </s:c>
      <s:c r="B65" t="s">
        <s:v>142</s:v>
      </s:c>
      <s:c r="C65">
        <s:v>9</s:v>
      </s:c>
      <s:c r="D65" t="s">
        <s:v>143</s:v>
      </s:c>
    </s:row>
    <s:row x14ac:dyDescent="0.2" r="66" spans="1:4">
      <s:c r="A66" t="s">
        <s:v>103</s:v>
      </s:c>
      <s:c r="B66" t="s">
        <s:v>144</s:v>
      </s:c>
      <s:c r="C66">
        <s:v>6</s:v>
      </s:c>
      <s:c r="D66" t="s">
        <s:v>145</s:v>
      </s:c>
    </s:row>
    <s:row x14ac:dyDescent="0.2" r="67" spans="1:4">
      <s:c r="A67" t="s">
        <s:v>103</s:v>
      </s:c>
      <s:c r="B67" t="s">
        <s:v>146</s:v>
      </s:c>
      <s:c r="C67">
        <s:v>5</s:v>
      </s:c>
      <s:c r="D67" t="s">
        <s:v>147</s:v>
      </s:c>
    </s:row>
    <s:row x14ac:dyDescent="0.2" r="68" spans="1:4">
      <s:c r="A68" t="s">
        <s:v>103</s:v>
      </s:c>
      <s:c r="B68" t="s">
        <s:v>148</s:v>
      </s:c>
      <s:c r="C68">
        <s:v>3.5</s:v>
      </s:c>
      <s:c r="D68" t="s">
        <s:v>149</s:v>
      </s:c>
    </s:row>
    <s:row x14ac:dyDescent="0.2" r="69" spans="1:4">
      <s:c r="A69" t="s">
        <s:v>103</s:v>
      </s:c>
      <s:c r="B69" t="s">
        <s:v>150</s:v>
      </s:c>
      <s:c r="C69">
        <s:v>5.8</s:v>
      </s:c>
      <s:c r="D69" t="s">
        <s:v>151</s:v>
      </s:c>
    </s:row>
    <s:row x14ac:dyDescent="0.2" r="70" spans="1:4">
      <s:c r="A70" t="s">
        <s:v>103</s:v>
      </s:c>
      <s:c r="B70" t="s">
        <s:v>152</s:v>
      </s:c>
      <s:c r="C70">
        <s:v>3</s:v>
      </s:c>
      <s:c r="D70" t="s">
        <s:v>153</s:v>
      </s:c>
    </s:row>
    <s:row x14ac:dyDescent="0.2" r="71" spans="1:4">
      <s:c r="A71" t="s">
        <s:v>103</s:v>
      </s:c>
      <s:c r="B71" t="s">
        <s:v>154</s:v>
      </s:c>
      <s:c r="C71">
        <s:v>6.5</s:v>
      </s:c>
      <s:c r="D71" t="s">
        <s:v>155</s:v>
      </s:c>
    </s:row>
    <s:row x14ac:dyDescent="0.2" r="72" spans="1:4">
      <s:c r="A72" t="s">
        <s:v>103</s:v>
      </s:c>
      <s:c r="B72" t="s">
        <s:v>156</s:v>
      </s:c>
      <s:c r="C72">
        <s:v>9.8000000000000007</s:v>
      </s:c>
      <s:c r="D72" t="s">
        <s:v>157</s:v>
      </s:c>
    </s:row>
    <s:row x14ac:dyDescent="0.2" r="73" spans="1:4">
      <s:c r="A73" t="s">
        <s:v>103</s:v>
      </s:c>
      <s:c r="B73" t="s">
        <s:v>158</s:v>
      </s:c>
      <s:c r="C73">
        <s:v>5.5</s:v>
      </s:c>
      <s:c r="D73" t="s">
        <s:v>159</s:v>
      </s:c>
    </s:row>
    <s:row x14ac:dyDescent="0.2" r="74" spans="1:4">
      <s:c r="A74" t="s">
        <s:v>103</s:v>
      </s:c>
      <s:c r="B74" t="s">
        <s:v>160</s:v>
      </s:c>
      <s:c r="C74">
        <s:v>5</s:v>
      </s:c>
      <s:c r="D74" t="s">
        <s:v>161</s:v>
      </s:c>
    </s:row>
    <s:row x14ac:dyDescent="0.2" r="75" spans="1:4">
      <s:c r="A75" t="s">
        <s:v>103</s:v>
      </s:c>
      <s:c r="B75" t="s">
        <s:v>162</s:v>
      </s:c>
      <s:c r="C75">
        <s:v>7.8</s:v>
      </s:c>
      <s:c r="D75" t="s">
        <s:v>163</s:v>
      </s:c>
    </s:row>
    <s:row x14ac:dyDescent="0.2" r="76" spans="1:4">
      <s:c r="A76" t="s">
        <s:v>103</s:v>
      </s:c>
      <s:c r="B76" t="s">
        <s:v>164</s:v>
      </s:c>
      <s:c r="C76">
        <s:v>3.8</s:v>
      </s:c>
      <s:c r="D76" t="s">
        <s:v>165</s:v>
      </s:c>
    </s:row>
    <s:row x14ac:dyDescent="0.2" r="77" spans="1:4">
      <s:c r="A77" t="s">
        <s:v>103</s:v>
      </s:c>
      <s:c r="B77" t="s">
        <s:v>166</s:v>
      </s:c>
      <s:c r="C77">
        <s:v>9.3000000000000007</s:v>
      </s:c>
      <s:c r="D77" t="s">
        <s:v>167</s:v>
      </s:c>
    </s:row>
    <s:row x14ac:dyDescent="0.2" r="78" spans="1:4">
      <s:c r="A78" t="s">
        <s:v>103</s:v>
      </s:c>
      <s:c r="B78" t="s">
        <s:v>168</s:v>
      </s:c>
      <s:c r="C78">
        <s:v>11</s:v>
      </s:c>
      <s:c r="D78" t="s">
        <s:v>169</s:v>
      </s:c>
    </s:row>
    <s:row x14ac:dyDescent="0.2" r="79" spans="1:4">
      <s:c r="A79" t="s">
        <s:v>103</s:v>
      </s:c>
      <s:c r="B79" t="s">
        <s:v>170</s:v>
      </s:c>
      <s:c r="C79">
        <s:v>9</s:v>
      </s:c>
      <s:c r="D79" t="s">
        <s:v>171</s:v>
      </s:c>
    </s:row>
    <s:row x14ac:dyDescent="0.2" r="80" spans="1:4">
      <s:c r="A80" t="s">
        <s:v>103</s:v>
      </s:c>
      <s:c r="B80" t="s">
        <s:v>172</s:v>
      </s:c>
      <s:c r="C80">
        <s:v>7.3</s:v>
      </s:c>
      <s:c r="D80" t="s">
        <s:v>173</s:v>
      </s:c>
    </s:row>
    <s:row x14ac:dyDescent="0.2" r="81" spans="1:4">
      <s:c r="A81" t="s">
        <s:v>103</s:v>
      </s:c>
      <s:c r="B81" t="s">
        <s:v>174</s:v>
      </s:c>
      <s:c r="C81">
        <s:v>5</s:v>
      </s:c>
      <s:c r="D81" t="s">
        <s:v>175</s:v>
      </s:c>
    </s:row>
    <s:row x14ac:dyDescent="0.2" r="82" spans="1:4">
      <s:c r="A82" t="s">
        <s:v>103</s:v>
      </s:c>
      <s:c r="B82" t="s">
        <s:v>176</s:v>
      </s:c>
      <s:c r="C82">
        <s:v>7.5</s:v>
      </s:c>
      <s:c r="D82" t="s">
        <s:v>177</s:v>
      </s:c>
    </s:row>
    <s:row x14ac:dyDescent="0.2" r="83" spans="1:4">
      <s:c r="A83" t="s">
        <s:v>103</s:v>
      </s:c>
      <s:c r="B83" t="s">
        <s:v>178</s:v>
      </s:c>
      <s:c r="C83">
        <s:v>11</s:v>
      </s:c>
      <s:c r="D83" t="s">
        <s:v>179</s:v>
      </s:c>
    </s:row>
    <s:row x14ac:dyDescent="0.2" r="84" spans="1:4">
      <s:c r="A84" t="s">
        <s:v>103</s:v>
      </s:c>
      <s:c r="B84" t="s">
        <s:v>180</s:v>
      </s:c>
      <s:c r="C84">
        <s:v>14</s:v>
      </s:c>
      <s:c r="D84" t="s">
        <s:v>181</s:v>
      </s:c>
    </s:row>
    <s:row x14ac:dyDescent="0.2" r="85" spans="1:4">
      <s:c r="A85" t="s">
        <s:v>103</s:v>
      </s:c>
      <s:c r="B85" t="s">
        <s:v>182</s:v>
      </s:c>
      <s:c r="C85">
        <s:v>11</s:v>
      </s:c>
      <s:c r="D85" t="s">
        <s:v>183</s:v>
      </s:c>
    </s:row>
    <s:row x14ac:dyDescent="0.2" r="86" spans="1:4">
      <s:c r="A86" t="s">
        <s:v>103</s:v>
      </s:c>
      <s:c r="B86" t="s">
        <s:v>184</s:v>
      </s:c>
      <s:c r="C86">
        <s:v>6.8</s:v>
      </s:c>
      <s:c r="D86" t="s">
        <s:v>185</s:v>
      </s:c>
    </s:row>
    <s:row x14ac:dyDescent="0.2" r="87" spans="1:4">
      <s:c r="A87" t="s">
        <s:v>103</s:v>
      </s:c>
      <s:c r="B87" t="s">
        <s:v>186</s:v>
      </s:c>
      <s:c r="C87">
        <s:v>10.5</s:v>
      </s:c>
      <s:c r="D87" t="s">
        <s:v>187</s:v>
      </s:c>
    </s:row>
    <s:row x14ac:dyDescent="0.2" r="88" spans="1:4">
      <s:c r="A88" t="s">
        <s:v>103</s:v>
      </s:c>
      <s:c r="B88" t="s">
        <s:v>188</s:v>
      </s:c>
      <s:c r="C88">
        <s:v>18</s:v>
      </s:c>
      <s:c r="D88" t="s">
        <s:v>189</s:v>
      </s:c>
    </s:row>
    <s:row x14ac:dyDescent="0.2" r="89" spans="1:4">
      <s:c r="A89" t="s">
        <s:v>103</s:v>
      </s:c>
      <s:c r="B89" t="s">
        <s:v>190</s:v>
      </s:c>
      <s:c r="C89">
        <s:v>10.5</s:v>
      </s:c>
      <s:c r="D89" t="s">
        <s:v>191</s:v>
      </s:c>
    </s:row>
    <s:row x14ac:dyDescent="0.2" r="90" spans="1:4">
      <s:c r="A90" t="s">
        <s:v>103</s:v>
      </s:c>
      <s:c r="B90" t="s">
        <s:v>192</s:v>
      </s:c>
      <s:c r="C90">
        <s:v>6</s:v>
      </s:c>
      <s:c r="D90" t="s">
        <s:v>193</s:v>
      </s:c>
    </s:row>
    <s:row x14ac:dyDescent="0.2" r="91" spans="1:4">
      <s:c r="A91" t="s">
        <s:v>103</s:v>
      </s:c>
      <s:c r="B91" t="s">
        <s:v>194</s:v>
      </s:c>
      <s:c r="C91">
        <s:v>2.2999999999999998</s:v>
      </s:c>
      <s:c r="D91" t="s">
        <s:v>195</s:v>
      </s:c>
    </s:row>
    <s:row x14ac:dyDescent="0.2" r="92" spans="1:4">
      <s:c r="A92" t="s">
        <s:v>103</s:v>
      </s:c>
      <s:c r="B92" t="s">
        <s:v>196</s:v>
      </s:c>
      <s:c r="C92">
        <s:v>1.8</s:v>
      </s:c>
      <s:c r="D92" t="s">
        <s:v>197</s:v>
      </s:c>
    </s:row>
    <s:row x14ac:dyDescent="0.2" r="93" spans="1:4">
      <s:c r="A93" t="s">
        <s:v>103</s:v>
      </s:c>
      <s:c r="B93" t="s">
        <s:v>198</s:v>
      </s:c>
      <s:c r="C93">
        <s:v>2.8</s:v>
      </s:c>
      <s:c r="D93" t="s">
        <s:v>199</s:v>
      </s:c>
    </s:row>
    <s:row x14ac:dyDescent="0.2" r="94" spans="1:4">
      <s:c r="A94" t="s">
        <s:v>103</s:v>
      </s:c>
      <s:c r="B94" t="s">
        <s:v>200</s:v>
      </s:c>
      <s:c r="C94">
        <s:v>8.5</s:v>
      </s:c>
      <s:c r="D94" t="s">
        <s:v>201</s:v>
      </s:c>
    </s:row>
    <s:row x14ac:dyDescent="0.2" r="95" spans="1:4">
      <s:c r="A95" t="s">
        <s:v>103</s:v>
      </s:c>
      <s:c r="B95" t="s">
        <s:v>202</s:v>
      </s:c>
      <s:c r="C95">
        <s:v>4.5</s:v>
      </s:c>
      <s:c r="D95" t="s">
        <s:v>203</s:v>
      </s:c>
    </s:row>
    <s:row x14ac:dyDescent="0.2" r="96" spans="1:4">
      <s:c r="A96" t="s">
        <s:v>103</s:v>
      </s:c>
      <s:c r="B96" t="s">
        <s:v>204</s:v>
      </s:c>
      <s:c r="C96">
        <s:v>6.8</s:v>
      </s:c>
      <s:c r="D96" t="s">
        <s:v>205</s:v>
      </s:c>
    </s:row>
    <s:row x14ac:dyDescent="0.2" r="97" spans="1:4">
      <s:c r="A97" t="s">
        <s:v>103</s:v>
      </s:c>
      <s:c r="B97" t="s">
        <s:v>206</s:v>
      </s:c>
      <s:c r="C97">
        <s:v>2.8</s:v>
      </s:c>
      <s:c r="D97" t="s">
        <s:v>207</s:v>
      </s:c>
    </s:row>
    <s:row x14ac:dyDescent="0.2" r="98" spans="1:4">
      <s:c r="A98" t="s">
        <s:v>103</s:v>
      </s:c>
      <s:c r="B98" t="s">
        <s:v>208</s:v>
      </s:c>
      <s:c r="C98">
        <s:v>9.5</s:v>
      </s:c>
      <s:c r="D98" t="s">
        <s:v>209</s:v>
      </s:c>
    </s:row>
    <s:row x14ac:dyDescent="0.2" r="99" spans="1:4">
      <s:c r="A99" t="s">
        <s:v>103</s:v>
      </s:c>
      <s:c r="B99" t="s">
        <s:v>210</s:v>
      </s:c>
      <s:c r="C99">
        <s:v>2.8</s:v>
      </s:c>
      <s:c r="D99" t="s">
        <s:v>211</s:v>
      </s:c>
    </s:row>
    <s:row x14ac:dyDescent="0.2" r="100" spans="1:4">
      <s:c r="A100" t="s">
        <s:v>103</s:v>
      </s:c>
      <s:c r="B100" t="s">
        <s:v>212</s:v>
      </s:c>
      <s:c r="C100">
        <s:v>2</s:v>
      </s:c>
      <s:c r="D100" t="s">
        <s:v>213</s:v>
      </s:c>
    </s:row>
    <s:row x14ac:dyDescent="0.2" r="101" spans="1:4">
      <s:c r="A101" t="s">
        <s:v>103</s:v>
      </s:c>
      <s:c r="B101" t="s">
        <s:v>214</s:v>
      </s:c>
      <s:c r="C101">
        <s:v>2.8</s:v>
      </s:c>
      <s:c r="D101" t="s">
        <s:v>215</s:v>
      </s:c>
    </s:row>
    <s:row x14ac:dyDescent="0.2" r="102" spans="1:4">
      <s:c r="A102" t="s">
        <s:v>103</s:v>
      </s:c>
      <s:c r="B102" t="s">
        <s:v>216</s:v>
      </s:c>
      <s:c r="C102">
        <s:v>3.5</s:v>
      </s:c>
      <s:c r="D102" t="s">
        <s:v>217</s:v>
      </s:c>
    </s:row>
    <s:row x14ac:dyDescent="0.2" r="103" spans="1:4">
      <s:c r="A103" t="s">
        <s:v>103</s:v>
      </s:c>
      <s:c r="B103" t="s">
        <s:v>218</s:v>
      </s:c>
      <s:c r="C103">
        <s:v>4.3</s:v>
      </s:c>
      <s:c r="D103" t="s">
        <s:v>219</s:v>
      </s:c>
    </s:row>
    <s:row x14ac:dyDescent="0.2" r="104" spans="1:4">
      <s:c r="A104" t="s">
        <s:v>103</s:v>
      </s:c>
      <s:c r="B104" t="s">
        <s:v>220</s:v>
      </s:c>
      <s:c r="C104">
        <s:v>5.3</s:v>
      </s:c>
      <s:c r="D104" t="s">
        <s:v>221</s:v>
      </s:c>
    </s:row>
    <s:row x14ac:dyDescent="0.2" r="105" spans="1:4">
      <s:c r="A105" t="s">
        <s:v>103</s:v>
      </s:c>
      <s:c r="B105" t="s">
        <s:v>222</s:v>
      </s:c>
      <s:c r="C105">
        <s:v>1.3</s:v>
      </s:c>
      <s:c r="D105" t="s">
        <s:v>223</s:v>
      </s:c>
    </s:row>
    <s:row x14ac:dyDescent="0.2" r="106" spans="1:4">
      <s:c r="A106" t="s">
        <s:v>103</s:v>
      </s:c>
      <s:c r="B106" t="s">
        <s:v>224</s:v>
      </s:c>
      <s:c r="C106">
        <s:v>2.5</s:v>
      </s:c>
      <s:c r="D106" t="s">
        <s:v>225</s:v>
      </s:c>
    </s:row>
    <s:row x14ac:dyDescent="0.2" r="107" spans="1:4">
      <s:c r="A107" t="s">
        <s:v>103</s:v>
      </s:c>
      <s:c r="B107" t="s">
        <s:v>226</s:v>
      </s:c>
      <s:c r="C107">
        <s:v>4</s:v>
      </s:c>
      <s:c r="D107" t="s">
        <s:v>227</s:v>
      </s:c>
    </s:row>
    <s:row x14ac:dyDescent="0.2" r="108" spans="1:4">
      <s:c r="A108" t="s">
        <s:v>103</s:v>
      </s:c>
      <s:c r="B108" t="s">
        <s:v>228</s:v>
      </s:c>
      <s:c r="C108">
        <s:v>6</s:v>
      </s:c>
      <s:c r="D108" t="s">
        <s:v>229</s:v>
      </s:c>
    </s:row>
    <s:row x14ac:dyDescent="0.2" r="109" spans="1:4">
      <s:c r="A109" t="s">
        <s:v>103</s:v>
      </s:c>
      <s:c r="B109" t="s">
        <s:v>230</s:v>
      </s:c>
      <s:c r="C109">
        <s:v>2.2999999999999998</s:v>
      </s:c>
      <s:c r="D109" t="s">
        <s:v>231</s:v>
      </s:c>
    </s:row>
    <s:row x14ac:dyDescent="0.2" r="110" spans="1:4">
      <s:c r="A110" t="s">
        <s:v>103</s:v>
      </s:c>
      <s:c r="B110" t="s">
        <s:v>232</s:v>
      </s:c>
      <s:c r="C110">
        <s:v>8</s:v>
      </s:c>
      <s:c r="D110" t="s">
        <s:v>233</s:v>
      </s:c>
    </s:row>
    <s:row x14ac:dyDescent="0.2" r="111" spans="1:4">
      <s:c r="A111" t="s">
        <s:v>103</s:v>
      </s:c>
      <s:c r="B111" t="s">
        <s:v>234</s:v>
      </s:c>
      <s:c r="C111">
        <s:v>3</s:v>
      </s:c>
      <s:c r="D111" t="s">
        <s:v>235</s:v>
      </s:c>
    </s:row>
    <s:row x14ac:dyDescent="0.2" r="112" spans="1:4">
      <s:c r="A112" t="s">
        <s:v>103</s:v>
      </s:c>
      <s:c r="B112" t="s">
        <s:v>236</s:v>
      </s:c>
      <s:c r="C112">
        <s:v>4</s:v>
      </s:c>
      <s:c r="D112" t="s">
        <s:v>237</s:v>
      </s:c>
    </s:row>
    <s:row x14ac:dyDescent="0.2" r="113" spans="1:4">
      <s:c r="A113" t="s">
        <s:v>103</s:v>
      </s:c>
      <s:c r="B113" t="s">
        <s:v>238</s:v>
      </s:c>
      <s:c r="C113">
        <s:v>2</s:v>
      </s:c>
      <s:c r="D113" t="s">
        <s:v>239</s:v>
      </s:c>
    </s:row>
    <s:row x14ac:dyDescent="0.2" r="114" spans="1:4">
      <s:c r="A114" t="s">
        <s:v>103</s:v>
      </s:c>
      <s:c r="B114" t="s">
        <s:v>240</s:v>
      </s:c>
      <s:c r="C114">
        <s:v>2.2999999999999998</s:v>
      </s:c>
      <s:c r="D114" t="s">
        <s:v>241</s:v>
      </s:c>
    </s:row>
    <s:row x14ac:dyDescent="0.2" r="115" spans="1:4">
      <s:c r="A115" t="s">
        <s:v>103</s:v>
      </s:c>
      <s:c r="B115" t="s">
        <s:v>242</s:v>
      </s:c>
      <s:c r="C115">
        <s:v>3.5</s:v>
      </s:c>
      <s:c r="D115" t="s">
        <s:v>243</s:v>
      </s:c>
    </s:row>
    <s:row x14ac:dyDescent="0.2" r="116" spans="1:4">
      <s:c r="A116" t="s">
        <s:v>103</s:v>
      </s:c>
      <s:c r="B116" t="s">
        <s:v>244</s:v>
      </s:c>
      <s:c r="C116">
        <s:v>2.7</s:v>
      </s:c>
      <s:c r="D116" t="s">
        <s:v>245</s:v>
      </s:c>
    </s:row>
    <s:row x14ac:dyDescent="0.2" r="117" spans="1:4">
      <s:c r="A117" t="s">
        <s:v>103</s:v>
      </s:c>
      <s:c r="B117" t="s">
        <s:v>246</s:v>
      </s:c>
      <s:c r="C117">
        <s:v>5.3</s:v>
      </s:c>
      <s:c r="D117" t="s">
        <s:v>247</s:v>
      </s:c>
    </s:row>
    <s:row x14ac:dyDescent="0.2" r="118" spans="1:4">
      <s:c r="A118" t="s">
        <s:v>103</s:v>
      </s:c>
      <s:c r="B118" t="s">
        <s:v>248</s:v>
      </s:c>
      <s:c r="C118">
        <s:v>6.8</s:v>
      </s:c>
      <s:c r="D118" t="s">
        <s:v>249</s:v>
      </s:c>
    </s:row>
    <s:row x14ac:dyDescent="0.2" r="119" spans="1:4">
      <s:c r="A119" t="s">
        <s:v>103</s:v>
      </s:c>
      <s:c r="B119" t="s">
        <s:v>250</s:v>
      </s:c>
      <s:c r="C119">
        <s:v>7</s:v>
      </s:c>
      <s:c r="D119" t="s">
        <s:v>251</s:v>
      </s:c>
    </s:row>
    <s:row x14ac:dyDescent="0.2" r="120" spans="1:4">
      <s:c r="A120" t="s">
        <s:v>103</s:v>
      </s:c>
      <s:c r="B120" t="s">
        <s:v>252</s:v>
      </s:c>
      <s:c r="C120">
        <s:v>11</s:v>
      </s:c>
      <s:c r="D120" t="s">
        <s:v>253</s:v>
      </s:c>
    </s:row>
    <s:row x14ac:dyDescent="0.2" r="121" spans="1:4">
      <s:c r="A121" t="s">
        <s:v>103</s:v>
      </s:c>
      <s:c r="B121" t="s">
        <s:v>254</s:v>
      </s:c>
      <s:c r="C121">
        <s:v>2.2999999999999998</s:v>
      </s:c>
      <s:c r="D121" t="s">
        <s:v>255</s:v>
      </s:c>
    </s:row>
    <s:row x14ac:dyDescent="0.2" r="122" spans="1:4">
      <s:c r="A122" t="s">
        <s:v>103</s:v>
      </s:c>
      <s:c r="B122" t="s">
        <s:v>256</s:v>
      </s:c>
      <s:c r="C122">
        <s:v>5.8</s:v>
      </s:c>
      <s:c r="D122" t="s">
        <s:v>257</s:v>
      </s:c>
    </s:row>
    <s:row x14ac:dyDescent="0.2" r="123" spans="1:4">
      <s:c r="A123" t="s">
        <s:v>103</s:v>
      </s:c>
      <s:c r="B123" t="s">
        <s:v>258</s:v>
      </s:c>
      <s:c r="C123">
        <s:v>9</s:v>
      </s:c>
      <s:c r="D123" t="s">
        <s:v>259</s:v>
      </s:c>
    </s:row>
    <s:row x14ac:dyDescent="0.2" r="124" spans="1:4">
      <s:c r="A124" t="s">
        <s:v>103</s:v>
      </s:c>
      <s:c r="B124" t="s">
        <s:v>260</s:v>
      </s:c>
      <s:c r="C124">
        <s:v>7.9</s:v>
      </s:c>
      <s:c r="D124" t="s">
        <s:v>261</s:v>
      </s:c>
    </s:row>
    <s:row x14ac:dyDescent="0.2" r="125" spans="1:4">
      <s:c r="A125" t="s">
        <s:v>103</s:v>
      </s:c>
      <s:c r="B125" t="s">
        <s:v>262</s:v>
      </s:c>
      <s:c r="C125">
        <s:v>9.3000000000000007</s:v>
      </s:c>
      <s:c r="D125" t="s">
        <s:v>263</s:v>
      </s:c>
    </s:row>
    <s:row x14ac:dyDescent="0.2" r="126" spans="1:4">
      <s:c r="A126" t="s">
        <s:v>103</s:v>
      </s:c>
      <s:c r="B126" t="s">
        <s:v>264</s:v>
      </s:c>
      <s:c r="C126">
        <s:v>13</s:v>
      </s:c>
      <s:c r="D126" t="s">
        <s:v>265</s:v>
      </s:c>
    </s:row>
    <s:row x14ac:dyDescent="0.2" r="127" spans="1:4">
      <s:c r="A127" t="s">
        <s:v>103</s:v>
      </s:c>
      <s:c r="B127" t="s">
        <s:v>266</s:v>
      </s:c>
      <s:c r="C127">
        <s:v>3</s:v>
      </s:c>
      <s:c r="D127" t="s">
        <s:v>267</s:v>
      </s:c>
    </s:row>
    <s:row x14ac:dyDescent="0.2" r="128" spans="1:4">
      <s:c r="A128" t="s">
        <s:v>103</s:v>
      </s:c>
      <s:c r="B128" t="s">
        <s:v>268</s:v>
      </s:c>
      <s:c r="C128">
        <s:v>6.5</s:v>
      </s:c>
      <s:c r="D128" t="s">
        <s:v>269</s:v>
      </s:c>
    </s:row>
    <s:row x14ac:dyDescent="0.2" r="129" spans="1:4">
      <s:c r="A129" t="s">
        <s:v>103</s:v>
      </s:c>
      <s:c r="B129" t="s">
        <s:v>270</s:v>
      </s:c>
      <s:c r="C129">
        <s:v>5.5</s:v>
      </s:c>
      <s:c r="D129" t="s">
        <s:v>271</s:v>
      </s:c>
    </s:row>
    <s:row x14ac:dyDescent="0.2" r="130" spans="1:4">
      <s:c r="A130" t="s">
        <s:v>103</s:v>
      </s:c>
      <s:c r="B130" t="s">
        <s:v>272</s:v>
      </s:c>
      <s:c r="C130">
        <s:v>2.8</s:v>
      </s:c>
      <s:c r="D130" t="s">
        <s:v>273</s:v>
      </s:c>
    </s:row>
    <s:row x14ac:dyDescent="0.2" r="131" spans="1:4">
      <s:c r="A131" t="s">
        <s:v>103</s:v>
      </s:c>
      <s:c r="B131" t="s">
        <s:v>274</s:v>
      </s:c>
      <s:c r="C131">
        <s:v>4</s:v>
      </s:c>
      <s:c r="D131" t="s">
        <s:v>275</s:v>
      </s:c>
    </s:row>
    <s:row x14ac:dyDescent="0.2" r="132" spans="1:4">
      <s:c r="A132" t="s">
        <s:v>276</s:v>
      </s:c>
      <s:c r="B132" t="s">
        <s:v>277</s:v>
      </s:c>
      <s:c r="C132">
        <s:v>6</s:v>
      </s:c>
      <s:c r="D132" t="s">
        <s:v>278</s:v>
      </s:c>
    </s:row>
    <s:row x14ac:dyDescent="0.2" r="133" spans="1:4">
      <s:c r="A133" t="s">
        <s:v>276</s:v>
      </s:c>
      <s:c r="B133" t="s">
        <s:v>279</s:v>
      </s:c>
      <s:c r="C133">
        <s:v>5</s:v>
      </s:c>
      <s:c r="D133" t="s">
        <s:v>280</s:v>
      </s:c>
    </s:row>
    <s:row x14ac:dyDescent="0.2" r="134" spans="1:4">
      <s:c r="A134" t="s">
        <s:v>276</s:v>
      </s:c>
      <s:c r="B134" t="s">
        <s:v>281</s:v>
      </s:c>
      <s:c r="C134">
        <s:v>6.3</s:v>
      </s:c>
      <s:c r="D134" t="s">
        <s:v>282</s:v>
      </s:c>
    </s:row>
    <s:row x14ac:dyDescent="0.2" r="135" spans="1:4">
      <s:c r="A135" t="s">
        <s:v>276</s:v>
      </s:c>
      <s:c r="B135" t="s">
        <s:v>283</s:v>
      </s:c>
      <s:c r="C135">
        <s:v>6.8</s:v>
      </s:c>
      <s:c r="D135" t="s">
        <s:v>284</s:v>
      </s:c>
    </s:row>
    <s:row x14ac:dyDescent="0.2" r="136" spans="1:4">
      <s:c r="A136" t="s">
        <s:v>276</s:v>
      </s:c>
      <s:c r="B136" t="s">
        <s:v>285</s:v>
      </s:c>
      <s:c r="C136">
        <s:v>4.8</s:v>
      </s:c>
      <s:c r="D136" t="s">
        <s:v>286</s:v>
      </s:c>
    </s:row>
    <s:row x14ac:dyDescent="0.2" r="137" spans="1:4">
      <s:c r="A137" t="s">
        <s:v>276</s:v>
      </s:c>
      <s:c r="B137" t="s">
        <s:v>287</s:v>
      </s:c>
      <s:c r="C137">
        <s:v>4.5</s:v>
      </s:c>
      <s:c r="D137" t="s">
        <s:v>288</s:v>
      </s:c>
    </s:row>
    <s:row x14ac:dyDescent="0.2" r="138" spans="1:4">
      <s:c r="A138" t="s">
        <s:v>276</s:v>
      </s:c>
      <s:c r="B138" t="s">
        <s:v>289</s:v>
      </s:c>
      <s:c r="C138">
        <s:v>5.5</s:v>
      </s:c>
      <s:c r="D138" t="s">
        <s:v>290</s:v>
      </s:c>
    </s:row>
    <s:row x14ac:dyDescent="0.2" r="139" spans="1:4">
      <s:c r="A139" t="s">
        <s:v>276</s:v>
      </s:c>
      <s:c r="B139" t="s">
        <s:v>291</s:v>
      </s:c>
      <s:c r="C139">
        <s:v>7.3</s:v>
      </s:c>
      <s:c r="D139" t="s">
        <s:v>292</s:v>
      </s:c>
    </s:row>
    <s:row x14ac:dyDescent="0.2" r="140" spans="1:4">
      <s:c r="A140" t="s">
        <s:v>276</s:v>
      </s:c>
      <s:c r="B140" t="s">
        <s:v>293</s:v>
      </s:c>
      <s:c r="C140">
        <s:v>5.5</s:v>
      </s:c>
      <s:c r="D140" t="s">
        <s:v>294</s:v>
      </s:c>
    </s:row>
    <s:row x14ac:dyDescent="0.2" r="141" spans="1:4">
      <s:c r="A141" t="s">
        <s:v>276</s:v>
      </s:c>
      <s:c r="B141" t="s">
        <s:v>295</s:v>
      </s:c>
      <s:c r="C141">
        <s:v>9.8000000000000007</s:v>
      </s:c>
      <s:c r="D141" t="s">
        <s:v>296</s:v>
      </s:c>
    </s:row>
    <s:row x14ac:dyDescent="0.2" r="142" spans="1:4">
      <s:c r="A142" t="s">
        <s:v>276</s:v>
      </s:c>
      <s:c r="B142" t="s">
        <s:v>297</s:v>
      </s:c>
      <s:c r="C142">
        <s:v>5</s:v>
      </s:c>
      <s:c r="D142" t="s">
        <s:v>298</s:v>
      </s:c>
    </s:row>
    <s:row x14ac:dyDescent="0.2" r="143" spans="1:4">
      <s:c r="A143" t="s">
        <s:v>276</s:v>
      </s:c>
      <s:c r="B143" t="s">
        <s:v>299</s:v>
      </s:c>
      <s:c r="C143">
        <s:v>11.3</s:v>
      </s:c>
      <s:c r="D143" t="s">
        <s:v>300</s:v>
      </s:c>
    </s:row>
    <s:row x14ac:dyDescent="0.2" r="144" spans="1:4">
      <s:c r="A144" t="s">
        <s:v>276</s:v>
      </s:c>
      <s:c r="B144" t="s">
        <s:v>301</s:v>
      </s:c>
      <s:c r="C144">
        <s:v>13</s:v>
      </s:c>
      <s:c r="D144" t="s">
        <s:v>302</s:v>
      </s:c>
    </s:row>
    <s:row x14ac:dyDescent="0.2" r="145" spans="1:4">
      <s:c r="A145" t="s">
        <s:v>276</s:v>
      </s:c>
      <s:c r="B145" t="s">
        <s:v>303</s:v>
      </s:c>
      <s:c r="C145">
        <s:v>3</s:v>
      </s:c>
      <s:c r="D145" t="s">
        <s:v>304</s:v>
      </s:c>
    </s:row>
    <s:row x14ac:dyDescent="0.2" r="146" spans="1:4">
      <s:c r="A146" t="s">
        <s:v>276</s:v>
      </s:c>
      <s:c r="B146" t="s">
        <s:v>305</s:v>
      </s:c>
      <s:c r="C146">
        <s:v>6</s:v>
      </s:c>
      <s:c r="D146" t="s">
        <s:v>306</s:v>
      </s:c>
    </s:row>
    <s:row x14ac:dyDescent="0.2" r="147" spans="1:4">
      <s:c r="A147" t="s">
        <s:v>276</s:v>
      </s:c>
      <s:c r="B147" t="s">
        <s:v>307</s:v>
      </s:c>
      <s:c r="C147">
        <s:v>5.5</s:v>
      </s:c>
      <s:c r="D147" t="s">
        <s:v>308</s:v>
      </s:c>
    </s:row>
    <s:row x14ac:dyDescent="0.2" r="148" spans="1:4">
      <s:c r="A148" t="s">
        <s:v>276</s:v>
      </s:c>
      <s:c r="B148" t="s">
        <s:v>309</s:v>
      </s:c>
      <s:c r="C148">
        <s:v>3.5</s:v>
      </s:c>
      <s:c r="D148" t="s">
        <s:v>310</s:v>
      </s:c>
    </s:row>
    <s:row x14ac:dyDescent="0.2" r="149" spans="1:4">
      <s:c r="A149" t="s">
        <s:v>276</s:v>
      </s:c>
      <s:c r="B149" t="s">
        <s:v>311</s:v>
      </s:c>
      <s:c r="C149">
        <s:v>3.8</s:v>
      </s:c>
      <s:c r="D149" t="s">
        <s:v>312</s:v>
      </s:c>
    </s:row>
    <s:row x14ac:dyDescent="0.2" r="150" spans="1:4">
      <s:c r="A150" t="s">
        <s:v>276</s:v>
      </s:c>
      <s:c r="B150" t="s">
        <s:v>313</s:v>
      </s:c>
      <s:c r="C150">
        <s:v>4.3</s:v>
      </s:c>
      <s:c r="D150" t="s">
        <s:v>314</s:v>
      </s:c>
    </s:row>
    <s:row x14ac:dyDescent="0.2" r="151" spans="1:4">
      <s:c r="A151" t="s">
        <s:v>276</s:v>
      </s:c>
      <s:c r="B151" t="s">
        <s:v>315</s:v>
      </s:c>
      <s:c r="C151">
        <s:v>8.5</s:v>
      </s:c>
      <s:c r="D151" t="s">
        <s:v>316</s:v>
      </s:c>
    </s:row>
    <s:row x14ac:dyDescent="0.2" r="152" spans="1:4">
      <s:c r="A152" t="s">
        <s:v>276</s:v>
      </s:c>
      <s:c r="B152" t="s">
        <s:v>317</s:v>
      </s:c>
      <s:c r="C152">
        <s:v>4.5</s:v>
      </s:c>
      <s:c r="D152" t="s">
        <s:v>318</s:v>
      </s:c>
    </s:row>
    <s:row x14ac:dyDescent="0.2" r="153" spans="1:4">
      <s:c r="A153" t="s">
        <s:v>276</s:v>
      </s:c>
      <s:c r="B153" t="s">
        <s:v>319</s:v>
      </s:c>
      <s:c r="C153">
        <s:v>10.3</s:v>
      </s:c>
      <s:c r="D153" t="s">
        <s:v>320</s:v>
      </s:c>
    </s:row>
    <s:row x14ac:dyDescent="0.2" r="154" spans="1:4">
      <s:c r="A154" t="s">
        <s:v>276</s:v>
      </s:c>
      <s:c r="B154" t="s">
        <s:v>321</s:v>
      </s:c>
      <s:c r="C154">
        <s:v>5.8</s:v>
      </s:c>
      <s:c r="D154" t="s">
        <s:v>322</s:v>
      </s:c>
    </s:row>
    <s:row x14ac:dyDescent="0.2" r="155" spans="1:4">
      <s:c r="A155" t="s">
        <s:v>276</s:v>
      </s:c>
      <s:c r="B155" t="s">
        <s:v>323</s:v>
      </s:c>
      <s:c r="C155">
        <s:v>7</s:v>
      </s:c>
      <s:c r="D155" t="s">
        <s:v>324</s:v>
      </s:c>
    </s:row>
    <s:row x14ac:dyDescent="0.2" r="156" spans="1:4">
      <s:c r="A156" t="s">
        <s:v>276</s:v>
      </s:c>
      <s:c r="B156" t="s">
        <s:v>325</s:v>
      </s:c>
      <s:c r="C156">
        <s:v>8.8000000000000007</s:v>
      </s:c>
      <s:c r="D156" t="s">
        <s:v>326</s:v>
      </s:c>
    </s:row>
    <s:row x14ac:dyDescent="0.2" r="157" spans="1:4">
      <s:c r="A157" t="s">
        <s:v>276</s:v>
      </s:c>
      <s:c r="B157" t="s">
        <s:v>327</s:v>
      </s:c>
      <s:c r="C157">
        <s:v>4.8</s:v>
      </s:c>
      <s:c r="D157" t="s">
        <s:v>328</s:v>
      </s:c>
    </s:row>
    <s:row x14ac:dyDescent="0.2" r="158" spans="1:4">
      <s:c r="A158" t="s">
        <s:v>276</s:v>
      </s:c>
      <s:c r="B158" t="s">
        <s:v>329</s:v>
      </s:c>
      <s:c r="C158">
        <s:v>6.3</s:v>
      </s:c>
      <s:c r="D158" t="s">
        <s:v>330</s:v>
      </s:c>
    </s:row>
    <s:row x14ac:dyDescent="0.2" r="159" spans="1:4">
      <s:c r="A159" t="s">
        <s:v>276</s:v>
      </s:c>
      <s:c r="B159" t="s">
        <s:v>331</s:v>
      </s:c>
      <s:c r="C159">
        <s:v>5.5</s:v>
      </s:c>
      <s:c r="D159" t="s">
        <s:v>332</s:v>
      </s:c>
    </s:row>
    <s:row x14ac:dyDescent="0.2" r="160" spans="1:4">
      <s:c r="A160" t="s">
        <s:v>333</s:v>
      </s:c>
      <s:c r="B160" t="s">
        <s:v>334</s:v>
      </s:c>
      <s:c r="C160">
        <s:v>3.5</s:v>
      </s:c>
      <s:c r="D160" t="s">
        <s:v>335</s:v>
      </s:c>
    </s:row>
    <s:row x14ac:dyDescent="0.2" r="161" spans="1:4">
      <s:c r="A161" t="s">
        <s:v>333</s:v>
      </s:c>
      <s:c r="B161" t="s">
        <s:v>336</s:v>
      </s:c>
      <s:c r="C161">
        <s:v>4.5</s:v>
      </s:c>
      <s:c r="D161" t="s">
        <s:v>337</s:v>
      </s:c>
    </s:row>
    <s:row x14ac:dyDescent="0.2" r="162" spans="1:4">
      <s:c r="A162" t="s">
        <s:v>333</s:v>
      </s:c>
      <s:c r="B162" t="s">
        <s:v>338</s:v>
      </s:c>
      <s:c r="C162">
        <s:v>4</s:v>
      </s:c>
      <s:c r="D162" t="s">
        <s:v>339</s:v>
      </s:c>
    </s:row>
    <s:row x14ac:dyDescent="0.2" r="163" spans="1:4">
      <s:c r="A163" t="s">
        <s:v>333</s:v>
      </s:c>
      <s:c r="B163" t="s">
        <s:v>340</s:v>
      </s:c>
      <s:c r="C163">
        <s:v>4.3</s:v>
      </s:c>
      <s:c r="D163" t="s">
        <s:v>341</s:v>
      </s:c>
    </s:row>
    <s:row x14ac:dyDescent="0.2" r="164" spans="1:4">
      <s:c r="A164" t="s">
        <s:v>333</s:v>
      </s:c>
      <s:c r="B164" t="s">
        <s:v>342</s:v>
      </s:c>
      <s:c r="C164">
        <s:v>4</s:v>
      </s:c>
      <s:c r="D164" t="s">
        <s:v>343</s:v>
      </s:c>
    </s:row>
    <s:row x14ac:dyDescent="0.2" r="165" spans="1:4">
      <s:c r="A165" t="s">
        <s:v>333</s:v>
      </s:c>
      <s:c r="B165" t="s">
        <s:v>344</s:v>
      </s:c>
      <s:c r="C165">
        <s:v>2</s:v>
      </s:c>
      <s:c r="D165" t="s">
        <s:v>345</s:v>
      </s:c>
    </s:row>
    <s:row x14ac:dyDescent="0.2" r="166" spans="1:4">
      <s:c r="A166" t="s">
        <s:v>333</s:v>
      </s:c>
      <s:c r="B166" t="s">
        <s:v>346</s:v>
      </s:c>
      <s:c r="C166">
        <s:v>3.5</s:v>
      </s:c>
      <s:c r="D166" t="s">
        <s:v>347</s:v>
      </s:c>
    </s:row>
    <s:row x14ac:dyDescent="0.2" r="167" spans="1:4">
      <s:c r="A167" t="s">
        <s:v>333</s:v>
      </s:c>
      <s:c r="B167" t="s">
        <s:v>348</s:v>
      </s:c>
      <s:c r="C167">
        <s:v>6</s:v>
      </s:c>
      <s:c r="D167" t="s">
        <s:v>349</s:v>
      </s:c>
    </s:row>
    <s:row x14ac:dyDescent="0.2" r="168" spans="1:4">
      <s:c r="A168" t="s">
        <s:v>333</s:v>
      </s:c>
      <s:c r="B168" t="s">
        <s:v>350</s:v>
      </s:c>
      <s:c r="C168">
        <s:v>2</s:v>
      </s:c>
      <s:c r="D168" t="s">
        <s:v>351</s:v>
      </s:c>
    </s:row>
    <s:row x14ac:dyDescent="0.2" r="169" spans="1:4">
      <s:c r="A169" t="s">
        <s:v>333</s:v>
      </s:c>
      <s:c r="B169" t="s">
        <s:v>352</s:v>
      </s:c>
      <s:c r="C169">
        <s:v>1.8</s:v>
      </s:c>
      <s:c r="D169" t="s">
        <s:v>353</s:v>
      </s:c>
    </s:row>
    <s:row x14ac:dyDescent="0.2" r="170" spans="1:4">
      <s:c r="A170" t="s">
        <s:v>333</s:v>
      </s:c>
      <s:c r="B170" t="s">
        <s:v>354</s:v>
      </s:c>
      <s:c r="C170">
        <s:v>3.5</s:v>
      </s:c>
      <s:c r="D170" t="s">
        <s:v>355</s:v>
      </s:c>
    </s:row>
    <s:row x14ac:dyDescent="0.2" r="171" spans="1:4">
      <s:c r="A171" t="s">
        <s:v>333</s:v>
      </s:c>
      <s:c r="B171" t="s">
        <s:v>356</s:v>
      </s:c>
      <s:c r="C171">
        <s:v>3.8</s:v>
      </s:c>
      <s:c r="D171" t="s">
        <s:v>357</s:v>
      </s:c>
    </s:row>
    <s:row x14ac:dyDescent="0.2" r="172" spans="1:4">
      <s:c r="A172" t="s">
        <s:v>333</s:v>
      </s:c>
      <s:c r="B172" t="s">
        <s:v>358</s:v>
      </s:c>
      <s:c r="C172">
        <s:v>3</s:v>
      </s:c>
      <s:c r="D172" t="s">
        <s:v>359</s:v>
      </s:c>
    </s:row>
    <s:row x14ac:dyDescent="0.2" r="173" spans="1:4">
      <s:c r="A173" t="s">
        <s:v>333</s:v>
      </s:c>
      <s:c r="B173" t="s">
        <s:v>360</s:v>
      </s:c>
      <s:c r="C173">
        <s:v>2.2999999999999998</s:v>
      </s:c>
      <s:c r="D173" t="s">
        <s:v>361</s:v>
      </s:c>
    </s:row>
    <s:row x14ac:dyDescent="0.2" r="174" spans="1:4">
      <s:c r="A174" t="s">
        <s:v>333</s:v>
      </s:c>
      <s:c r="B174" t="s">
        <s:v>362</s:v>
      </s:c>
      <s:c r="C174">
        <s:v>2.5</s:v>
      </s:c>
      <s:c r="D174" t="s">
        <s:v>363</s:v>
      </s:c>
    </s:row>
    <s:row x14ac:dyDescent="0.2" r="175" spans="1:4">
      <s:c r="A175" t="s">
        <s:v>333</s:v>
      </s:c>
      <s:c r="B175" t="s">
        <s:v>364</s:v>
      </s:c>
      <s:c r="C175">
        <s:v>6</s:v>
      </s:c>
      <s:c r="D175" t="s">
        <s:v>365</s:v>
      </s:c>
    </s:row>
    <s:row x14ac:dyDescent="0.2" r="176" spans="1:4">
      <s:c r="A176" t="s">
        <s:v>333</s:v>
      </s:c>
      <s:c r="B176" t="s">
        <s:v>366</s:v>
      </s:c>
      <s:c r="C176">
        <s:v>9.8000000000000007</s:v>
      </s:c>
      <s:c r="D176" t="s">
        <s:v>367</s:v>
      </s:c>
    </s:row>
    <s:row x14ac:dyDescent="0.2" r="177" spans="1:4">
      <s:c r="A177" t="s">
        <s:v>333</s:v>
      </s:c>
      <s:c r="B177" t="s">
        <s:v>368</s:v>
      </s:c>
      <s:c r="C177">
        <s:v>4</s:v>
      </s:c>
      <s:c r="D177" t="s">
        <s:v>369</s:v>
      </s:c>
    </s:row>
    <s:row x14ac:dyDescent="0.2" r="178" spans="1:4">
      <s:c r="A178" t="s">
        <s:v>333</s:v>
      </s:c>
      <s:c r="B178" t="s">
        <s:v>370</s:v>
      </s:c>
      <s:c r="C178">
        <s:v>2.5</s:v>
      </s:c>
      <s:c r="D178" t="s">
        <s:v>371</s:v>
      </s:c>
    </s:row>
    <s:row x14ac:dyDescent="0.2" r="179" spans="1:4">
      <s:c r="A179" t="s">
        <s:v>333</s:v>
      </s:c>
      <s:c r="B179" t="s">
        <s:v>372</s:v>
      </s:c>
      <s:c r="C179">
        <s:v>2</s:v>
      </s:c>
      <s:c r="D179" t="s">
        <s:v>373</s:v>
      </s:c>
    </s:row>
    <s:row x14ac:dyDescent="0.2" r="180" spans="1:4">
      <s:c r="A180" t="s">
        <s:v>333</s:v>
      </s:c>
      <s:c r="B180" t="s">
        <s:v>374</s:v>
      </s:c>
      <s:c r="C180">
        <s:v>2.5</s:v>
      </s:c>
      <s:c r="D180" t="s">
        <s:v>375</s:v>
      </s:c>
    </s:row>
    <s:row x14ac:dyDescent="0.2" r="181" spans="1:4">
      <s:c r="A181" t="s">
        <s:v>333</s:v>
      </s:c>
      <s:c r="B181" t="s">
        <s:v>376</s:v>
      </s:c>
      <s:c r="C181">
        <s:v>3</s:v>
      </s:c>
      <s:c r="D181" t="s">
        <s:v>377</s:v>
      </s:c>
    </s:row>
    <s:row x14ac:dyDescent="0.2" r="182" spans="1:4">
      <s:c r="A182" t="s">
        <s:v>333</s:v>
      </s:c>
      <s:c r="B182" t="s">
        <s:v>378</s:v>
      </s:c>
      <s:c r="C182">
        <s:v>5</s:v>
      </s:c>
      <s:c r="D182" t="s">
        <s:v>379</s:v>
      </s:c>
    </s:row>
    <s:row x14ac:dyDescent="0.2" r="183" spans="1:4">
      <s:c r="A183" t="s">
        <s:v>333</s:v>
      </s:c>
      <s:c r="B183" t="s">
        <s:v>380</s:v>
      </s:c>
      <s:c r="C183">
        <s:v>6</s:v>
      </s:c>
      <s:c r="D183" t="s">
        <s:v>381</s:v>
      </s:c>
    </s:row>
    <s:row x14ac:dyDescent="0.2" r="184" spans="1:4">
      <s:c r="A184" t="s">
        <s:v>333</s:v>
      </s:c>
      <s:c r="B184" t="s">
        <s:v>382</s:v>
      </s:c>
      <s:c r="C184">
        <s:v>3.3</s:v>
      </s:c>
      <s:c r="D184" t="s">
        <s:v>383</s:v>
      </s:c>
    </s:row>
    <s:row x14ac:dyDescent="0.2" r="185" spans="1:4">
      <s:c r="A185" t="s">
        <s:v>333</s:v>
      </s:c>
      <s:c r="B185" t="s">
        <s:v>384</s:v>
      </s:c>
      <s:c r="C185">
        <s:v>5</s:v>
      </s:c>
      <s:c r="D185" t="s">
        <s:v>385</s:v>
      </s:c>
    </s:row>
    <s:row x14ac:dyDescent="0.2" r="186" spans="1:4">
      <s:c r="A186" t="s">
        <s:v>333</s:v>
      </s:c>
      <s:c r="B186" t="s">
        <s:v>386</s:v>
      </s:c>
      <s:c r="C186">
        <s:v>3.3</s:v>
      </s:c>
      <s:c r="D186" t="s">
        <s:v>387</s:v>
      </s:c>
    </s:row>
    <s:row x14ac:dyDescent="0.2" r="187" spans="1:4">
      <s:c r="A187" t="s">
        <s:v>333</s:v>
      </s:c>
      <s:c r="B187" t="s">
        <s:v>388</s:v>
      </s:c>
      <s:c r="C187">
        <s:v>2</s:v>
      </s:c>
      <s:c r="D187" t="s">
        <s:v>389</s:v>
      </s:c>
    </s:row>
    <s:row x14ac:dyDescent="0.2" r="188" spans="1:4">
      <s:c r="A188" t="s">
        <s:v>333</s:v>
      </s:c>
      <s:c r="B188" t="s">
        <s:v>390</s:v>
      </s:c>
      <s:c r="C188">
        <s:v>9.5</s:v>
      </s:c>
      <s:c r="D188" t="s">
        <s:v>391</s:v>
      </s:c>
    </s:row>
    <s:row x14ac:dyDescent="0.2" r="189" spans="1:4">
      <s:c r="A189" t="s">
        <s:v>333</s:v>
      </s:c>
      <s:c r="B189" t="s">
        <s:v>392</s:v>
      </s:c>
      <s:c r="C189">
        <s:v>2.5</s:v>
      </s:c>
      <s:c r="D189" t="s">
        <s:v>393</s:v>
      </s:c>
    </s:row>
    <s:row x14ac:dyDescent="0.2" r="190" spans="1:4">
      <s:c r="A190" t="s">
        <s:v>333</s:v>
      </s:c>
      <s:c r="B190" t="s">
        <s:v>394</s:v>
      </s:c>
      <s:c r="C190">
        <s:v>2.2999999999999998</s:v>
      </s:c>
      <s:c r="D190" t="s">
        <s:v>395</s:v>
      </s:c>
    </s:row>
    <s:row x14ac:dyDescent="0.2" r="191" spans="1:4">
      <s:c r="A191" t="s">
        <s:v>333</s:v>
      </s:c>
      <s:c r="B191" t="s">
        <s:v>396</s:v>
      </s:c>
      <s:c r="C191">
        <s:v>2.5</s:v>
      </s:c>
      <s:c r="D191" t="s">
        <s:v>397</s:v>
      </s:c>
    </s:row>
    <s:row x14ac:dyDescent="0.2" r="192" spans="1:4">
      <s:c r="A192" t="s">
        <s:v>333</s:v>
      </s:c>
      <s:c r="B192" t="s">
        <s:v>398</s:v>
      </s:c>
      <s:c r="C192">
        <s:v>2.8</s:v>
      </s:c>
      <s:c r="D192" t="s">
        <s:v>399</s:v>
      </s:c>
    </s:row>
    <s:row x14ac:dyDescent="0.2" r="193" spans="1:4">
      <s:c r="A193" t="s">
        <s:v>333</s:v>
      </s:c>
      <s:c r="B193" t="s">
        <s:v>400</s:v>
      </s:c>
      <s:c r="C193">
        <s:v>3</s:v>
      </s:c>
      <s:c r="D193" t="s">
        <s:v>401</s:v>
      </s:c>
    </s:row>
    <s:row x14ac:dyDescent="0.2" r="194" spans="1:4">
      <s:c r="A194" t="s">
        <s:v>333</s:v>
      </s:c>
      <s:c r="B194" t="s">
        <s:v>402</s:v>
      </s:c>
      <s:c r="C194">
        <s:v>1</s:v>
      </s:c>
      <s:c r="D194" t="s">
        <s:v>403</s:v>
      </s:c>
    </s:row>
    <s:row x14ac:dyDescent="0.2" r="195" spans="1:4">
      <s:c r="A195" t="s">
        <s:v>333</s:v>
      </s:c>
      <s:c r="B195" t="s">
        <s:v>404</s:v>
      </s:c>
      <s:c r="C195">
        <s:v>1.5</s:v>
      </s:c>
      <s:c r="D195" t="s">
        <s:v>405</s:v>
      </s:c>
    </s:row>
    <s:row x14ac:dyDescent="0.2" r="196" spans="1:4">
      <s:c r="A196" t="s">
        <s:v>333</s:v>
      </s:c>
      <s:c r="B196" t="s">
        <s:v>406</s:v>
      </s:c>
      <s:c r="C196">
        <s:v>3.3</s:v>
      </s:c>
      <s:c r="D196" t="s">
        <s:v>407</s:v>
      </s:c>
    </s:row>
    <s:row x14ac:dyDescent="0.2" r="197" spans="1:4">
      <s:c r="A197" t="s">
        <s:v>408</s:v>
      </s:c>
      <s:c r="B197" t="s">
        <s:v>409</s:v>
      </s:c>
      <s:c r="C197">
        <s:v>3.3</s:v>
      </s:c>
      <s:c r="D197" t="s">
        <s:v>410</s:v>
      </s:c>
    </s:row>
    <s:row x14ac:dyDescent="0.2" r="198" spans="1:4">
      <s:c r="A198" t="s">
        <s:v>408</s:v>
      </s:c>
      <s:c r="B198" t="s">
        <s:v>411</s:v>
      </s:c>
      <s:c r="C198">
        <s:v>2.2999999999999998</s:v>
      </s:c>
      <s:c r="D198" t="s">
        <s:v>412</s:v>
      </s:c>
    </s:row>
    <s:row x14ac:dyDescent="0.2" r="199" spans="1:4">
      <s:c r="A199" t="s">
        <s:v>408</s:v>
      </s:c>
      <s:c r="B199" t="s">
        <s:v>413</s:v>
      </s:c>
      <s:c r="C199">
        <s:v>3.8</s:v>
      </s:c>
      <s:c r="D199" t="s">
        <s:v>414</s:v>
      </s:c>
    </s:row>
    <s:row x14ac:dyDescent="0.2" r="200" spans="1:4">
      <s:c r="A200" t="s">
        <s:v>408</s:v>
      </s:c>
      <s:c r="B200" t="s">
        <s:v>415</s:v>
      </s:c>
      <s:c r="C200">
        <s:v>3.5</s:v>
      </s:c>
      <s:c r="D200" t="s">
        <s:v>416</s:v>
      </s:c>
    </s:row>
    <s:row x14ac:dyDescent="0.2" r="201" spans="1:4">
      <s:c r="A201" t="s">
        <s:v>408</s:v>
      </s:c>
      <s:c r="B201" t="s">
        <s:v>417</s:v>
      </s:c>
      <s:c r="C201">
        <s:v>3.5</s:v>
      </s:c>
      <s:c r="D201" t="s">
        <s:v>418</s:v>
      </s:c>
    </s:row>
    <s:row x14ac:dyDescent="0.2" r="202" spans="1:4">
      <s:c r="A202" t="s">
        <s:v>408</s:v>
      </s:c>
      <s:c r="B202" t="s">
        <s:v>419</s:v>
      </s:c>
      <s:c r="C202">
        <s:v>3.3</s:v>
      </s:c>
      <s:c r="D202" t="s">
        <s:v>420</s:v>
      </s:c>
    </s:row>
    <s:row x14ac:dyDescent="0.2" r="203" spans="1:4">
      <s:c r="A203" t="s">
        <s:v>408</s:v>
      </s:c>
      <s:c r="B203" t="s">
        <s:v>421</s:v>
      </s:c>
      <s:c r="C203">
        <s:v>2.5</s:v>
      </s:c>
      <s:c r="D203" t="s">
        <s:v>422</s:v>
      </s:c>
    </s:row>
    <s:row x14ac:dyDescent="0.2" r="204" spans="1:4">
      <s:c r="A204" t="s">
        <s:v>408</s:v>
      </s:c>
      <s:c r="B204" t="s">
        <s:v>423</s:v>
      </s:c>
      <s:c r="C204">
        <s:v>4.5</s:v>
      </s:c>
      <s:c r="D204" t="s">
        <s:v>424</s:v>
      </s:c>
    </s:row>
    <s:row x14ac:dyDescent="0.2" r="205" spans="1:4">
      <s:c r="A205" t="s">
        <s:v>408</s:v>
      </s:c>
      <s:c r="B205" t="s">
        <s:v>425</s:v>
      </s:c>
      <s:c r="C205">
        <s:v>2.8</s:v>
      </s:c>
      <s:c r="D205" t="s">
        <s:v>426</s:v>
      </s:c>
    </s:row>
    <s:row x14ac:dyDescent="0.2" r="206" spans="1:4">
      <s:c r="A206" t="s">
        <s:v>408</s:v>
      </s:c>
      <s:c r="B206" t="s">
        <s:v>427</s:v>
      </s:c>
      <s:c r="C206">
        <s:v>3.3</s:v>
      </s:c>
      <s:c r="D206" t="s">
        <s:v>428</s:v>
      </s:c>
    </s:row>
    <s:row x14ac:dyDescent="0.2" r="207" spans="1:4">
      <s:c r="A207" t="s">
        <s:v>408</s:v>
      </s:c>
      <s:c r="B207" t="s">
        <s:v>429</s:v>
      </s:c>
      <s:c r="C207">
        <s:v>4.3</s:v>
      </s:c>
      <s:c r="D207" t="s">
        <s:v>430</s:v>
      </s:c>
    </s:row>
    <s:row x14ac:dyDescent="0.2" r="208" spans="1:4">
      <s:c r="A208" t="s">
        <s:v>408</s:v>
      </s:c>
      <s:c r="B208" t="s">
        <s:v>431</s:v>
      </s:c>
      <s:c r="C208">
        <s:v>3.3</s:v>
      </s:c>
      <s:c r="D208" t="s">
        <s:v>432</s:v>
      </s:c>
    </s:row>
    <s:row x14ac:dyDescent="0.2" r="209" spans="1:4">
      <s:c r="A209" t="s">
        <s:v>408</s:v>
      </s:c>
      <s:c r="B209" t="s">
        <s:v>433</s:v>
      </s:c>
      <s:c r="C209">
        <s:v>2.5</s:v>
      </s:c>
      <s:c r="D209" t="s">
        <s:v>434</s:v>
      </s:c>
    </s:row>
    <s:row x14ac:dyDescent="0.2" r="210" spans="1:4">
      <s:c r="A210" t="s">
        <s:v>408</s:v>
      </s:c>
      <s:c r="B210" t="s">
        <s:v>435</s:v>
      </s:c>
      <s:c r="C210">
        <s:v>3.3</s:v>
      </s:c>
      <s:c r="D210" t="s">
        <s:v>436</s:v>
      </s:c>
    </s:row>
    <s:row x14ac:dyDescent="0.2" r="211" spans="1:4">
      <s:c r="A211" t="s">
        <s:v>408</s:v>
      </s:c>
      <s:c r="B211" t="s">
        <s:v>437</s:v>
      </s:c>
      <s:c r="C211">
        <s:v>2.5</s:v>
      </s:c>
      <s:c r="D211" t="s">
        <s:v>438</s:v>
      </s:c>
    </s:row>
    <s:row x14ac:dyDescent="0.2" r="212" spans="1:4">
      <s:c r="A212" t="s">
        <s:v>408</s:v>
      </s:c>
      <s:c r="B212" t="s">
        <s:v>439</s:v>
      </s:c>
      <s:c r="C212">
        <s:v>2</s:v>
      </s:c>
      <s:c r="D212" t="s">
        <s:v>440</s:v>
      </s:c>
    </s:row>
    <s:row x14ac:dyDescent="0.2" r="213" spans="1:4">
      <s:c r="A213" t="s">
        <s:v>408</s:v>
      </s:c>
      <s:c r="B213" t="s">
        <s:v>441</s:v>
      </s:c>
      <s:c r="C213">
        <s:v>2</s:v>
      </s:c>
      <s:c r="D213" t="s">
        <s:v>442</s:v>
      </s:c>
    </s:row>
    <s:row x14ac:dyDescent="0.2" r="214" spans="1:4">
      <s:c r="A214" t="s">
        <s:v>408</s:v>
      </s:c>
      <s:c r="B214" t="s">
        <s:v>443</s:v>
      </s:c>
      <s:c r="C214">
        <s:v>3</s:v>
      </s:c>
      <s:c r="D214" t="s">
        <s:v>444</s:v>
      </s:c>
    </s:row>
    <s:row x14ac:dyDescent="0.2" r="215" spans="1:4">
      <s:c r="A215" t="s">
        <s:v>408</s:v>
      </s:c>
      <s:c r="B215" t="s">
        <s:v>445</s:v>
      </s:c>
      <s:c r="C215">
        <s:v>3</s:v>
      </s:c>
      <s:c r="D215" t="s">
        <s:v>446</s:v>
      </s:c>
    </s:row>
    <s:row x14ac:dyDescent="0.2" r="216" spans="1:4">
      <s:c r="A216" t="s">
        <s:v>408</s:v>
      </s:c>
      <s:c r="B216" t="s">
        <s:v>447</s:v>
      </s:c>
      <s:c r="C216">
        <s:v>6</s:v>
      </s:c>
      <s:c r="D216" t="s">
        <s:v>448</s:v>
      </s:c>
    </s:row>
    <s:row x14ac:dyDescent="0.2" r="217" spans="1:4">
      <s:c r="A217" t="s">
        <s:v>408</s:v>
      </s:c>
      <s:c r="B217" t="s">
        <s:v>449</s:v>
      </s:c>
      <s:c r="C217">
        <s:v>2.2999999999999998</s:v>
      </s:c>
      <s:c r="D217" t="s">
        <s:v>450</s:v>
      </s:c>
    </s:row>
    <s:row x14ac:dyDescent="0.2" r="218" spans="1:4">
      <s:c r="A218" t="s">
        <s:v>408</s:v>
      </s:c>
      <s:c r="B218" t="s">
        <s:v>451</s:v>
      </s:c>
      <s:c r="C218">
        <s:v>4</s:v>
      </s:c>
      <s:c r="D218" t="s">
        <s:v>452</s:v>
      </s:c>
    </s:row>
    <s:row x14ac:dyDescent="0.2" r="219" spans="1:4">
      <s:c r="A219" t="s">
        <s:v>408</s:v>
      </s:c>
      <s:c r="B219" t="s">
        <s:v>453</s:v>
      </s:c>
      <s:c r="C219">
        <s:v>3.5</s:v>
      </s:c>
      <s:c r="D219" t="s">
        <s:v>454</s:v>
      </s:c>
    </s:row>
    <s:row x14ac:dyDescent="0.2" r="220" spans="1:4">
      <s:c r="A220" t="s">
        <s:v>408</s:v>
      </s:c>
      <s:c r="B220" t="s">
        <s:v>455</s:v>
      </s:c>
      <s:c r="C220">
        <s:v>2</s:v>
      </s:c>
      <s:c r="D220" t="s">
        <s:v>456</s:v>
      </s:c>
    </s:row>
    <s:row x14ac:dyDescent="0.2" r="221" spans="1:4">
      <s:c r="A221" t="s">
        <s:v>408</s:v>
      </s:c>
      <s:c r="B221" t="s">
        <s:v>457</s:v>
      </s:c>
      <s:c r="C221">
        <s:v>2.2999999999999998</s:v>
      </s:c>
      <s:c r="D221" t="s">
        <s:v>458</s:v>
      </s:c>
    </s:row>
    <s:row x14ac:dyDescent="0.2" r="222" spans="1:4">
      <s:c r="A222" t="s">
        <s:v>408</s:v>
      </s:c>
      <s:c r="B222" t="s">
        <s:v>459</s:v>
      </s:c>
      <s:c r="C222">
        <s:v>2.2999999999999998</s:v>
      </s:c>
      <s:c r="D222" t="s">
        <s:v>460</s:v>
      </s:c>
    </s:row>
    <s:row x14ac:dyDescent="0.2" r="223" spans="1:4">
      <s:c r="A223" t="s">
        <s:v>408</s:v>
      </s:c>
      <s:c r="B223" t="s">
        <s:v>461</s:v>
      </s:c>
      <s:c r="C223">
        <s:v>2.5</s:v>
      </s:c>
      <s:c r="D223" t="s">
        <s:v>462</s:v>
      </s:c>
    </s:row>
    <s:row x14ac:dyDescent="0.2" r="224" spans="1:4">
      <s:c r="A224" t="s">
        <s:v>408</s:v>
      </s:c>
      <s:c r="B224" t="s">
        <s:v>463</s:v>
      </s:c>
      <s:c r="C224">
        <s:v>3.5</s:v>
      </s:c>
      <s:c r="D224" t="s">
        <s:v>464</s:v>
      </s:c>
    </s:row>
    <s:row x14ac:dyDescent="0.2" r="225" spans="1:4">
      <s:c r="A225" t="s">
        <s:v>408</s:v>
      </s:c>
      <s:c r="B225" t="s">
        <s:v>465</s:v>
      </s:c>
      <s:c r="C225">
        <s:v>2.5</s:v>
      </s:c>
      <s:c r="D225" t="s">
        <s:v>466</s:v>
      </s:c>
    </s:row>
    <s:row x14ac:dyDescent="0.2" r="226" spans="1:4">
      <s:c r="A226" t="s">
        <s:v>408</s:v>
      </s:c>
      <s:c r="B226" t="s">
        <s:v>467</s:v>
      </s:c>
      <s:c r="C226">
        <s:v>5.3</s:v>
      </s:c>
      <s:c r="D226" t="s">
        <s:v>468</s:v>
      </s:c>
    </s:row>
    <s:row x14ac:dyDescent="0.2" r="227" spans="1:4">
      <s:c r="A227" t="s">
        <s:v>408</s:v>
      </s:c>
      <s:c r="B227" t="s">
        <s:v>469</s:v>
      </s:c>
      <s:c r="C227">
        <s:v>3</s:v>
      </s:c>
      <s:c r="D227" t="s">
        <s:v>470</s:v>
      </s:c>
    </s:row>
    <s:row x14ac:dyDescent="0.2" r="228" spans="1:4">
      <s:c r="A228" t="s">
        <s:v>408</s:v>
      </s:c>
      <s:c r="B228" t="s">
        <s:v>471</s:v>
      </s:c>
      <s:c r="C228">
        <s:v>3.3</s:v>
      </s:c>
      <s:c r="D228" t="s">
        <s:v>472</s:v>
      </s:c>
    </s:row>
    <s:row x14ac:dyDescent="0.2" r="229" spans="1:4">
      <s:c r="A229" t="s">
        <s:v>408</s:v>
      </s:c>
      <s:c r="B229" t="s">
        <s:v>473</s:v>
      </s:c>
      <s:c r="C229">
        <s:v>2.2999999999999998</s:v>
      </s:c>
      <s:c r="D229" t="s">
        <s:v>474</s:v>
      </s:c>
    </s:row>
    <s:row x14ac:dyDescent="0.2" r="230" spans="1:4">
      <s:c r="A230" t="s">
        <s:v>408</s:v>
      </s:c>
      <s:c r="B230" t="s">
        <s:v>475</s:v>
      </s:c>
      <s:c r="C230">
        <s:v>1.8</s:v>
      </s:c>
      <s:c r="D230" t="s">
        <s:v>476</s:v>
      </s:c>
    </s:row>
    <s:row x14ac:dyDescent="0.2" r="231" spans="1:4">
      <s:c r="A231" t="s">
        <s:v>408</s:v>
      </s:c>
      <s:c r="B231" t="s">
        <s:v>477</s:v>
      </s:c>
      <s:c r="C231">
        <s:v>1.3</s:v>
      </s:c>
      <s:c r="D231" t="s">
        <s:v>478</s:v>
      </s:c>
    </s:row>
    <s:row x14ac:dyDescent="0.2" r="232" spans="1:4">
      <s:c r="A232" t="s">
        <s:v>408</s:v>
      </s:c>
      <s:c r="B232" t="s">
        <s:v>479</s:v>
      </s:c>
      <s:c r="C232">
        <s:v>2.8</s:v>
      </s:c>
      <s:c r="D232" t="s">
        <s:v>480</s:v>
      </s:c>
    </s:row>
    <s:row x14ac:dyDescent="0.2" r="233" spans="1:4">
      <s:c r="A233" t="s">
        <s:v>408</s:v>
      </s:c>
      <s:c r="B233" t="s">
        <s:v>481</s:v>
      </s:c>
      <s:c r="C233">
        <s:v>2.2999999999999998</s:v>
      </s:c>
      <s:c r="D233" t="s">
        <s:v>482</s:v>
      </s:c>
    </s:row>
    <s:row x14ac:dyDescent="0.2" r="234" spans="1:4">
      <s:c r="A234" t="s">
        <s:v>408</s:v>
      </s:c>
      <s:c r="B234" t="s">
        <s:v>483</s:v>
      </s:c>
      <s:c r="C234">
        <s:v>2</s:v>
      </s:c>
      <s:c r="D234" t="s">
        <s:v>484</s:v>
      </s:c>
    </s:row>
    <s:row x14ac:dyDescent="0.2" r="235" spans="1:4">
      <s:c r="A235" t="s">
        <s:v>408</s:v>
      </s:c>
      <s:c r="B235" t="s">
        <s:v>485</s:v>
      </s:c>
      <s:c r="C235">
        <s:v>4</s:v>
      </s:c>
      <s:c r="D235" t="s">
        <s:v>486</s:v>
      </s:c>
    </s:row>
    <s:row x14ac:dyDescent="0.2" r="236" spans="1:4">
      <s:c r="A236" t="s">
        <s:v>408</s:v>
      </s:c>
      <s:c r="B236" t="s">
        <s:v>487</s:v>
      </s:c>
      <s:c r="C236">
        <s:v>2</s:v>
      </s:c>
      <s:c r="D236" t="s">
        <s:v>488</s:v>
      </s:c>
    </s:row>
    <s:row x14ac:dyDescent="0.2" r="237" spans="1:4">
      <s:c r="A237" t="s">
        <s:v>408</s:v>
      </s:c>
      <s:c r="B237" t="s">
        <s:v>489</s:v>
      </s:c>
      <s:c r="C237">
        <s:v>3</s:v>
      </s:c>
      <s:c r="D237" t="s">
        <s:v>490</s:v>
      </s:c>
    </s:row>
    <s:row x14ac:dyDescent="0.2" r="238" spans="1:4">
      <s:c r="A238" t="s">
        <s:v>408</s:v>
      </s:c>
      <s:c r="B238" t="s">
        <s:v>491</s:v>
      </s:c>
      <s:c r="C238">
        <s:v>5</s:v>
      </s:c>
      <s:c r="D238" t="s">
        <s:v>492</s:v>
      </s:c>
    </s:row>
    <s:row x14ac:dyDescent="0.2" r="239" spans="1:4">
      <s:c r="A239" t="s">
        <s:v>408</s:v>
      </s:c>
      <s:c r="B239" t="s">
        <s:v>493</s:v>
      </s:c>
      <s:c r="C239">
        <s:v>5.8</s:v>
      </s:c>
      <s:c r="D239" t="s">
        <s:v>494</s:v>
      </s:c>
    </s:row>
    <s:row x14ac:dyDescent="0.2" r="240" spans="1:4">
      <s:c r="A240" t="s">
        <s:v>408</s:v>
      </s:c>
      <s:c r="B240" t="s">
        <s:v>495</s:v>
      </s:c>
      <s:c r="C240">
        <s:v>5</s:v>
      </s:c>
      <s:c r="D240" t="s">
        <s:v>496</s:v>
      </s:c>
    </s:row>
    <s:row x14ac:dyDescent="0.2" r="241" spans="1:4">
      <s:c r="A241" t="s">
        <s:v>408</s:v>
      </s:c>
      <s:c r="B241" t="s">
        <s:v>497</s:v>
      </s:c>
      <s:c r="C241">
        <s:v>4.8</s:v>
      </s:c>
      <s:c r="D241" t="s">
        <s:v>498</s:v>
      </s:c>
    </s:row>
    <s:row x14ac:dyDescent="0.2" r="242" spans="1:4">
      <s:c r="A242" t="s">
        <s:v>408</s:v>
      </s:c>
      <s:c r="B242" t="s">
        <s:v>499</s:v>
      </s:c>
      <s:c r="C242">
        <s:v>3.5</s:v>
      </s:c>
      <s:c r="D242" t="s">
        <s:v>500</s:v>
      </s:c>
    </s:row>
    <s:row x14ac:dyDescent="0.2" r="243" spans="1:4">
      <s:c r="A243" t="s">
        <s:v>408</s:v>
      </s:c>
      <s:c r="B243" t="s">
        <s:v>501</s:v>
      </s:c>
      <s:c r="C243">
        <s:v>2</s:v>
      </s:c>
      <s:c r="D243" t="s">
        <s:v>502</s:v>
      </s:c>
    </s:row>
    <s:row x14ac:dyDescent="0.2" r="244" spans="1:4">
      <s:c r="A244" t="s">
        <s:v>408</s:v>
      </s:c>
      <s:c r="B244" t="s">
        <s:v>503</s:v>
      </s:c>
      <s:c r="C244">
        <s:v>6.5</s:v>
      </s:c>
      <s:c r="D244" t="s">
        <s:v>504</s:v>
      </s:c>
    </s:row>
    <s:row x14ac:dyDescent="0.2" r="245" spans="1:4">
      <s:c r="A245" t="s">
        <s:v>408</s:v>
      </s:c>
      <s:c r="B245" t="s">
        <s:v>505</s:v>
      </s:c>
      <s:c r="C245">
        <s:v>3</s:v>
      </s:c>
      <s:c r="D245" t="s">
        <s:v>506</s:v>
      </s:c>
    </s:row>
    <s:row x14ac:dyDescent="0.2" r="246" spans="1:4">
      <s:c r="A246" t="s">
        <s:v>408</s:v>
      </s:c>
      <s:c r="B246" t="s">
        <s:v>507</s:v>
      </s:c>
      <s:c r="C246">
        <s:v>3.8</s:v>
      </s:c>
      <s:c r="D246" t="s">
        <s:v>508</s:v>
      </s:c>
    </s:row>
    <s:row x14ac:dyDescent="0.2" r="247" spans="1:4">
      <s:c r="A247" t="s">
        <s:v>408</s:v>
      </s:c>
      <s:c r="B247" t="s">
        <s:v>509</s:v>
      </s:c>
      <s:c r="C247">
        <s:v>3</s:v>
      </s:c>
      <s:c r="D247" t="s">
        <s:v>510</s:v>
      </s:c>
    </s:row>
    <s:row x14ac:dyDescent="0.2" r="248" spans="1:4">
      <s:c r="A248" t="s">
        <s:v>408</s:v>
      </s:c>
      <s:c r="B248" t="s">
        <s:v>511</s:v>
      </s:c>
      <s:c r="C248">
        <s:v>2</s:v>
      </s:c>
      <s:c r="D248" t="s">
        <s:v>512</s:v>
      </s:c>
    </s:row>
    <s:row x14ac:dyDescent="0.2" r="249" spans="1:4">
      <s:c r="A249" t="s">
        <s:v>408</s:v>
      </s:c>
      <s:c r="B249" t="s">
        <s:v>513</s:v>
      </s:c>
      <s:c r="C249">
        <s:v>2.5</s:v>
      </s:c>
      <s:c r="D249" t="s">
        <s:v>514</s:v>
      </s:c>
    </s:row>
    <s:row x14ac:dyDescent="0.2" r="250" spans="1:4">
      <s:c r="A250" t="s">
        <s:v>408</s:v>
      </s:c>
      <s:c r="B250" t="s">
        <s:v>515</s:v>
      </s:c>
      <s:c r="C250">
        <s:v>9</s:v>
      </s:c>
      <s:c r="D250" t="s">
        <s:v>516</s:v>
      </s:c>
    </s:row>
    <s:row x14ac:dyDescent="0.2" r="251" spans="1:4">
      <s:c r="A251" t="s">
        <s:v>408</s:v>
      </s:c>
      <s:c r="B251" t="s">
        <s:v>517</s:v>
      </s:c>
      <s:c r="C251">
        <s:v>2</s:v>
      </s:c>
      <s:c r="D251" t="s">
        <s:v>518</s:v>
      </s:c>
    </s:row>
    <s:row x14ac:dyDescent="0.2" r="252" spans="1:4">
      <s:c r="A252" t="s">
        <s:v>408</s:v>
      </s:c>
      <s:c r="B252" t="s">
        <s:v>519</s:v>
      </s:c>
      <s:c r="C252">
        <s:v>3.5</s:v>
      </s:c>
      <s:c r="D252" t="s">
        <s:v>520</s:v>
      </s:c>
    </s:row>
    <s:row x14ac:dyDescent="0.2" r="253" spans="1:4">
      <s:c r="A253" t="s">
        <s:v>408</s:v>
      </s:c>
      <s:c r="B253" t="s">
        <s:v>521</s:v>
      </s:c>
      <s:c r="C253">
        <s:v>2.2999999999999998</s:v>
      </s:c>
      <s:c r="D253" t="s">
        <s:v>522</s:v>
      </s:c>
    </s:row>
    <s:row x14ac:dyDescent="0.2" r="254" spans="1:4">
      <s:c r="A254" t="s">
        <s:v>408</s:v>
      </s:c>
      <s:c r="B254" t="s">
        <s:v>523</s:v>
      </s:c>
      <s:c r="C254">
        <s:v>2.8</s:v>
      </s:c>
      <s:c r="D254" t="s">
        <s:v>524</s:v>
      </s:c>
    </s:row>
    <s:row x14ac:dyDescent="0.2" r="255" spans="1:4">
      <s:c r="A255" t="s">
        <s:v>408</s:v>
      </s:c>
      <s:c r="B255" t="s">
        <s:v>525</s:v>
      </s:c>
      <s:c r="C255">
        <s:v>3.5</s:v>
      </s:c>
      <s:c r="D255" t="s">
        <s:v>526</s:v>
      </s:c>
    </s:row>
    <s:row x14ac:dyDescent="0.2" r="256" spans="1:4">
      <s:c r="A256" t="s">
        <s:v>408</s:v>
      </s:c>
      <s:c r="B256" t="s">
        <s:v>527</s:v>
      </s:c>
      <s:c r="C256">
        <s:v>5.8</s:v>
      </s:c>
      <s:c r="D256" t="s">
        <s:v>528</s:v>
      </s:c>
    </s:row>
    <s:row x14ac:dyDescent="0.2" r="257" spans="1:4">
      <s:c r="A257" t="s">
        <s:v>408</s:v>
      </s:c>
      <s:c r="B257" t="s">
        <s:v>529</s:v>
      </s:c>
      <s:c r="C257">
        <s:v>3</s:v>
      </s:c>
      <s:c r="D257" t="s">
        <s:v>530</s:v>
      </s:c>
    </s:row>
    <s:row x14ac:dyDescent="0.2" r="258" spans="1:4">
      <s:c r="A258" t="s">
        <s:v>408</s:v>
      </s:c>
      <s:c r="B258" t="s">
        <s:v>531</s:v>
      </s:c>
      <s:c r="C258">
        <s:v>2.5</s:v>
      </s:c>
      <s:c r="D258" t="s">
        <s:v>532</s:v>
      </s:c>
    </s:row>
    <s:row x14ac:dyDescent="0.2" r="259" spans="1:4">
      <s:c r="A259" t="s">
        <s:v>408</s:v>
      </s:c>
      <s:c r="B259" t="s">
        <s:v>533</s:v>
      </s:c>
      <s:c r="C259">
        <s:v>2</s:v>
      </s:c>
      <s:c r="D259" t="s">
        <s:v>534</s:v>
      </s:c>
    </s:row>
    <s:row x14ac:dyDescent="0.2" r="260" spans="1:4">
      <s:c r="A260" t="s">
        <s:v>408</s:v>
      </s:c>
      <s:c r="B260" t="s">
        <s:v>535</s:v>
      </s:c>
      <s:c r="C260">
        <s:v>2.5</s:v>
      </s:c>
      <s:c r="D260" t="s">
        <s:v>536</s:v>
      </s:c>
    </s:row>
    <s:row x14ac:dyDescent="0.2" r="261" spans="1:4">
      <s:c r="A261" t="s">
        <s:v>408</s:v>
      </s:c>
      <s:c r="B261" t="s">
        <s:v>537</s:v>
      </s:c>
      <s:c r="C261">
        <s:v>2</s:v>
      </s:c>
      <s:c r="D261" t="s">
        <s:v>538</s:v>
      </s:c>
    </s:row>
    <s:row x14ac:dyDescent="0.2" r="262" spans="1:4">
      <s:c r="A262" t="s">
        <s:v>408</s:v>
      </s:c>
      <s:c r="B262" t="s">
        <s:v>539</s:v>
      </s:c>
      <s:c r="C262">
        <s:v>3.5</s:v>
      </s:c>
      <s:c r="D262" t="s">
        <s:v>540</s:v>
      </s:c>
    </s:row>
    <s:row x14ac:dyDescent="0.2" r="263" spans="1:4">
      <s:c r="A263" t="s">
        <s:v>408</s:v>
      </s:c>
      <s:c r="B263" t="s">
        <s:v>541</s:v>
      </s:c>
      <s:c r="C263">
        <s:v>1.5</s:v>
      </s:c>
      <s:c r="D263" t="s">
        <s:v>542</s:v>
      </s:c>
    </s:row>
    <s:row x14ac:dyDescent="0.2" r="264" spans="1:4">
      <s:c r="A264" t="s">
        <s:v>408</s:v>
      </s:c>
      <s:c r="B264" t="s">
        <s:v>543</s:v>
      </s:c>
      <s:c r="C264">
        <s:v>2</s:v>
      </s:c>
      <s:c r="D264" t="s">
        <s:v>544</s:v>
      </s:c>
    </s:row>
    <s:row x14ac:dyDescent="0.2" r="265" spans="1:4">
      <s:c r="A265" t="s">
        <s:v>408</s:v>
      </s:c>
      <s:c r="B265" t="s">
        <s:v>545</s:v>
      </s:c>
      <s:c r="C265">
        <s:v>2.5</s:v>
      </s:c>
      <s:c r="D265" t="s">
        <s:v>546</s:v>
      </s:c>
    </s:row>
    <s:row x14ac:dyDescent="0.2" r="266" spans="1:4">
      <s:c r="A266" t="s">
        <s:v>408</s:v>
      </s:c>
      <s:c r="B266" t="s">
        <s:v>547</s:v>
      </s:c>
      <s:c r="C266">
        <s:v>2.8</s:v>
      </s:c>
      <s:c r="D266" t="s">
        <s:v>548</s:v>
      </s:c>
    </s:row>
    <s:row x14ac:dyDescent="0.2" r="267" spans="1:4">
      <s:c r="A267" t="s">
        <s:v>408</s:v>
      </s:c>
      <s:c r="B267" t="s">
        <s:v>549</s:v>
      </s:c>
      <s:c r="C267">
        <s:v>2.8</s:v>
      </s:c>
      <s:c r="D267" t="s">
        <s:v>550</s:v>
      </s:c>
    </s:row>
    <s:row x14ac:dyDescent="0.2" r="268" spans="1:4">
      <s:c r="A268" t="s">
        <s:v>408</s:v>
      </s:c>
      <s:c r="B268" t="s">
        <s:v>551</s:v>
      </s:c>
      <s:c r="C268">
        <s:v>4</s:v>
      </s:c>
      <s:c r="D268" t="s">
        <s:v>552</s:v>
      </s:c>
    </s:row>
    <s:row x14ac:dyDescent="0.2" r="269" spans="1:4">
      <s:c r="A269" t="s">
        <s:v>408</s:v>
      </s:c>
      <s:c r="B269" t="s">
        <s:v>553</s:v>
      </s:c>
      <s:c r="C269">
        <s:v>5</s:v>
      </s:c>
      <s:c r="D269" t="s">
        <s:v>554</s:v>
      </s:c>
    </s:row>
    <s:row x14ac:dyDescent="0.2" r="270" spans="1:4">
      <s:c r="A270" t="s">
        <s:v>408</s:v>
      </s:c>
      <s:c r="B270" t="s">
        <s:v>555</s:v>
      </s:c>
      <s:c r="C270">
        <s:v>3.5</s:v>
      </s:c>
      <s:c r="D270" t="s">
        <s:v>556</s:v>
      </s:c>
    </s:row>
    <s:row x14ac:dyDescent="0.2" r="271" spans="1:4">
      <s:c r="A271" t="s">
        <s:v>408</s:v>
      </s:c>
      <s:c r="B271" t="s">
        <s:v>557</s:v>
      </s:c>
      <s:c r="C271">
        <s:v>2.2999999999999998</s:v>
      </s:c>
      <s:c r="D271" t="s">
        <s:v>558</s:v>
      </s:c>
    </s:row>
    <s:row x14ac:dyDescent="0.2" r="272" spans="1:4">
      <s:c r="A272" t="s">
        <s:v>408</s:v>
      </s:c>
      <s:c r="B272" t="s">
        <s:v>559</s:v>
      </s:c>
      <s:c r="C272">
        <s:v>3</s:v>
      </s:c>
      <s:c r="D272" t="s">
        <s:v>560</s:v>
      </s:c>
    </s:row>
    <s:row x14ac:dyDescent="0.2" r="273" spans="1:4">
      <s:c r="A273" t="s">
        <s:v>408</s:v>
      </s:c>
      <s:c r="B273" t="s">
        <s:v>561</s:v>
      </s:c>
      <s:c r="C273">
        <s:v>1.8</s:v>
      </s:c>
      <s:c r="D273" t="s">
        <s:v>562</s:v>
      </s:c>
    </s:row>
    <s:row x14ac:dyDescent="0.2" r="274" spans="1:4">
      <s:c r="A274" t="s">
        <s:v>408</s:v>
      </s:c>
      <s:c r="B274" t="s">
        <s:v>563</s:v>
      </s:c>
      <s:c r="C274">
        <s:v>1.3</s:v>
      </s:c>
      <s:c r="D274" t="s">
        <s:v>564</s:v>
      </s:c>
    </s:row>
    <s:row x14ac:dyDescent="0.2" r="275" spans="1:4">
      <s:c r="A275" t="s">
        <s:v>565</s:v>
      </s:c>
      <s:c r="B275" t="s">
        <s:v>566</s:v>
      </s:c>
      <s:c r="C275">
        <s:v>3</s:v>
      </s:c>
      <s:c r="D275" t="s">
        <s:v>567</s:v>
      </s:c>
    </s:row>
    <s:row x14ac:dyDescent="0.2" r="276" spans="1:4">
      <s:c r="A276" t="s">
        <s:v>565</s:v>
      </s:c>
      <s:c r="B276" t="s">
        <s:v>568</s:v>
      </s:c>
      <s:c r="C276">
        <s:v>4</s:v>
      </s:c>
      <s:c r="D276" t="s">
        <s:v>569</s:v>
      </s:c>
    </s:row>
    <s:row x14ac:dyDescent="0.2" r="277" spans="1:4">
      <s:c r="A277" t="s">
        <s:v>565</s:v>
      </s:c>
      <s:c r="B277" t="s">
        <s:v>570</s:v>
      </s:c>
      <s:c r="C277">
        <s:v>3.3</s:v>
      </s:c>
      <s:c r="D277" t="s">
        <s:v>571</s:v>
      </s:c>
    </s:row>
    <s:row x14ac:dyDescent="0.2" r="278" spans="1:4">
      <s:c r="A278" t="s">
        <s:v>565</s:v>
      </s:c>
      <s:c r="B278" t="s">
        <s:v>572</s:v>
      </s:c>
      <s:c r="C278">
        <s:v>3</s:v>
      </s:c>
      <s:c r="D278" t="s">
        <s:v>573</s:v>
      </s:c>
    </s:row>
    <s:row x14ac:dyDescent="0.2" r="279" spans="1:4">
      <s:c r="A279" t="s">
        <s:v>565</s:v>
      </s:c>
      <s:c r="B279" t="s">
        <s:v>574</s:v>
      </s:c>
      <s:c r="C279">
        <s:v>6</s:v>
      </s:c>
      <s:c r="D279" t="s">
        <s:v>575</s:v>
      </s:c>
    </s:row>
    <s:row x14ac:dyDescent="0.2" r="280" spans="1:4">
      <s:c r="A280" t="s">
        <s:v>565</s:v>
      </s:c>
      <s:c r="B280" t="s">
        <s:v>576</s:v>
      </s:c>
      <s:c r="C280">
        <s:v>3.8</s:v>
      </s:c>
      <s:c r="D280" t="s">
        <s:v>577</s:v>
      </s:c>
    </s:row>
    <s:row x14ac:dyDescent="0.2" r="281" spans="1:4">
      <s:c r="A281" t="s">
        <s:v>565</s:v>
      </s:c>
      <s:c r="B281" t="s">
        <s:v>578</s:v>
      </s:c>
      <s:c r="C281">
        <s:v>3.3</s:v>
      </s:c>
      <s:c r="D281" t="s">
        <s:v>579</s:v>
      </s:c>
    </s:row>
    <s:row x14ac:dyDescent="0.2" r="282" spans="1:4">
      <s:c r="A282" t="s">
        <s:v>565</s:v>
      </s:c>
      <s:c r="B282" t="s">
        <s:v>580</s:v>
      </s:c>
      <s:c r="C282">
        <s:v>6</s:v>
      </s:c>
      <s:c r="D282" t="s">
        <s:v>581</s:v>
      </s:c>
    </s:row>
    <s:row x14ac:dyDescent="0.2" r="283" spans="1:4">
      <s:c r="A283" t="s">
        <s:v>565</s:v>
      </s:c>
      <s:c r="B283" t="s">
        <s:v>582</s:v>
      </s:c>
      <s:c r="C283">
        <s:v>4</s:v>
      </s:c>
      <s:c r="D283" t="s">
        <s:v>583</s:v>
      </s:c>
    </s:row>
    <s:row x14ac:dyDescent="0.2" r="284" spans="1:4">
      <s:c r="A284" t="s">
        <s:v>565</s:v>
      </s:c>
      <s:c r="B284" t="s">
        <s:v>584</s:v>
      </s:c>
      <s:c r="C284">
        <s:v>2.2999999999999998</s:v>
      </s:c>
      <s:c r="D284" t="s">
        <s:v>585</s:v>
      </s:c>
    </s:row>
    <s:row x14ac:dyDescent="0.2" r="285" spans="1:4">
      <s:c r="A285" t="s">
        <s:v>565</s:v>
      </s:c>
      <s:c r="B285" t="s">
        <s:v>586</s:v>
      </s:c>
      <s:c r="C285">
        <s:v>5</s:v>
      </s:c>
      <s:c r="D285" t="s">
        <s:v>587</s:v>
      </s:c>
    </s:row>
    <s:row x14ac:dyDescent="0.2" r="286" spans="1:4">
      <s:c r="A286" t="s">
        <s:v>565</s:v>
      </s:c>
      <s:c r="B286" t="s">
        <s:v>588</s:v>
      </s:c>
      <s:c r="C286">
        <s:v>4.5</s:v>
      </s:c>
      <s:c r="D286" t="s">
        <s:v>589</s:v>
      </s:c>
    </s:row>
    <s:row x14ac:dyDescent="0.2" r="287" spans="1:4">
      <s:c r="A287" t="s">
        <s:v>565</s:v>
      </s:c>
      <s:c r="B287" t="s">
        <s:v>590</s:v>
      </s:c>
      <s:c r="C287">
        <s:v>5</s:v>
      </s:c>
      <s:c r="D287" t="s">
        <s:v>591</s:v>
      </s:c>
    </s:row>
    <s:row x14ac:dyDescent="0.2" r="288" spans="1:4">
      <s:c r="A288" t="s">
        <s:v>565</s:v>
      </s:c>
      <s:c r="B288" t="s">
        <s:v>592</s:v>
      </s:c>
      <s:c r="C288">
        <s:v>5</s:v>
      </s:c>
      <s:c r="D288" t="s">
        <s:v>593</s:v>
      </s:c>
    </s:row>
    <s:row x14ac:dyDescent="0.2" r="289" spans="1:4">
      <s:c r="A289" t="s">
        <s:v>565</s:v>
      </s:c>
      <s:c r="B289" t="s">
        <s:v>594</s:v>
      </s:c>
      <s:c r="C289">
        <s:v>5</s:v>
      </s:c>
      <s:c r="D289" t="s">
        <s:v>595</s:v>
      </s:c>
    </s:row>
    <s:row x14ac:dyDescent="0.2" r="290" spans="1:4">
      <s:c r="A290" t="s">
        <s:v>565</s:v>
      </s:c>
      <s:c r="B290" t="s">
        <s:v>596</s:v>
      </s:c>
      <s:c r="C290">
        <s:v>5</s:v>
      </s:c>
      <s:c r="D290" t="s">
        <s:v>597</s:v>
      </s:c>
    </s:row>
    <s:row x14ac:dyDescent="0.2" r="291" spans="1:4">
      <s:c r="A291" t="s">
        <s:v>565</s:v>
      </s:c>
      <s:c r="B291" t="s">
        <s:v>598</s:v>
      </s:c>
      <s:c r="C291">
        <s:v>3</s:v>
      </s:c>
      <s:c r="D291" t="s">
        <s:v>599</s:v>
      </s:c>
    </s:row>
    <s:row x14ac:dyDescent="0.2" r="292" spans="1:4">
      <s:c r="A292" t="s">
        <s:v>565</s:v>
      </s:c>
      <s:c r="B292" t="s">
        <s:v>600</s:v>
      </s:c>
      <s:c r="C292">
        <s:v>2.5</s:v>
      </s:c>
      <s:c r="D292" t="s">
        <s:v>601</s:v>
      </s:c>
    </s:row>
    <s:row x14ac:dyDescent="0.2" r="293" spans="1:4">
      <s:c r="A293" t="s">
        <s:v>565</s:v>
      </s:c>
      <s:c r="B293" t="s">
        <s:v>602</s:v>
      </s:c>
      <s:c r="C293">
        <s:v>4.5</s:v>
      </s:c>
      <s:c r="D293" t="s">
        <s:v>603</s:v>
      </s:c>
    </s:row>
    <s:row x14ac:dyDescent="0.2" r="294" spans="1:4">
      <s:c r="A294" t="s">
        <s:v>565</s:v>
      </s:c>
      <s:c r="B294" t="s">
        <s:v>604</s:v>
      </s:c>
      <s:c r="C294">
        <s:v>6</s:v>
      </s:c>
      <s:c r="D294" t="s">
        <s:v>605</s:v>
      </s:c>
    </s:row>
    <s:row x14ac:dyDescent="0.2" r="295" spans="1:4">
      <s:c r="A295" t="s">
        <s:v>565</s:v>
      </s:c>
      <s:c r="B295" t="s">
        <s:v>606</s:v>
      </s:c>
      <s:c r="C295">
        <s:v>4.5</s:v>
      </s:c>
      <s:c r="D295" t="s">
        <s:v>607</s:v>
      </s:c>
    </s:row>
    <s:row x14ac:dyDescent="0.2" r="296" spans="1:4">
      <s:c r="A296" t="s">
        <s:v>565</s:v>
      </s:c>
      <s:c r="B296" t="s">
        <s:v>608</s:v>
      </s:c>
      <s:c r="C296">
        <s:v>3.8</s:v>
      </s:c>
      <s:c r="D296" t="s">
        <s:v>609</s:v>
      </s:c>
    </s:row>
    <s:row x14ac:dyDescent="0.2" r="297" spans="1:4">
      <s:c r="A297" t="s">
        <s:v>565</s:v>
      </s:c>
      <s:c r="B297" t="s">
        <s:v>610</s:v>
      </s:c>
      <s:c r="C297">
        <s:v>3</s:v>
      </s:c>
      <s:c r="D297" t="s">
        <s:v>611</s:v>
      </s:c>
    </s:row>
    <s:row x14ac:dyDescent="0.2" r="298" spans="1:4">
      <s:c r="A298" t="s">
        <s:v>565</s:v>
      </s:c>
      <s:c r="B298" t="s">
        <s:v>612</s:v>
      </s:c>
      <s:c r="C298">
        <s:v>5</s:v>
      </s:c>
      <s:c r="D298" t="s">
        <s:v>613</s:v>
      </s:c>
    </s:row>
    <s:row x14ac:dyDescent="0.2" r="299" spans="1:4">
      <s:c r="A299" t="s">
        <s:v>565</s:v>
      </s:c>
      <s:c r="B299" t="s">
        <s:v>614</s:v>
      </s:c>
      <s:c r="C299">
        <s:v>3.3</s:v>
      </s:c>
      <s:c r="D299" t="s">
        <s:v>615</s:v>
      </s:c>
    </s:row>
    <s:row x14ac:dyDescent="0.2" r="300" spans="1:4">
      <s:c r="A300" t="s">
        <s:v>565</s:v>
      </s:c>
      <s:c r="B300" t="s">
        <s:v>616</s:v>
      </s:c>
      <s:c r="C300">
        <s:v>4.5</s:v>
      </s:c>
      <s:c r="D300" t="s">
        <s:v>617</s:v>
      </s:c>
    </s:row>
    <s:row x14ac:dyDescent="0.2" r="301" spans="1:4">
      <s:c r="A301" t="s">
        <s:v>565</s:v>
      </s:c>
      <s:c r="B301" t="s">
        <s:v>618</s:v>
      </s:c>
      <s:c r="C301">
        <s:v>3</s:v>
      </s:c>
      <s:c r="D301" t="s">
        <s:v>619</s:v>
      </s:c>
    </s:row>
    <s:row x14ac:dyDescent="0.2" r="302" spans="1:4">
      <s:c r="A302" t="s">
        <s:v>565</s:v>
      </s:c>
      <s:c r="B302" t="s">
        <s:v>620</s:v>
      </s:c>
      <s:c r="C302">
        <s:v>3</s:v>
      </s:c>
      <s:c r="D302" t="s">
        <s:v>621</s:v>
      </s:c>
    </s:row>
    <s:row x14ac:dyDescent="0.2" r="303" spans="1:4">
      <s:c r="A303" t="s">
        <s:v>565</s:v>
      </s:c>
      <s:c r="B303" t="s">
        <s:v>622</s:v>
      </s:c>
      <s:c r="C303">
        <s:v>6</s:v>
      </s:c>
      <s:c r="D303" t="s">
        <s:v>623</s:v>
      </s:c>
    </s:row>
    <s:row x14ac:dyDescent="0.2" r="304" spans="1:4">
      <s:c r="A304" t="s">
        <s:v>565</s:v>
      </s:c>
      <s:c r="B304" t="s">
        <s:v>624</s:v>
      </s:c>
      <s:c r="C304">
        <s:v>4.5</s:v>
      </s:c>
      <s:c r="D304" t="s">
        <s:v>625</s:v>
      </s:c>
    </s:row>
    <s:row x14ac:dyDescent="0.2" r="305" spans="1:4">
      <s:c r="A305" t="s">
        <s:v>565</s:v>
      </s:c>
      <s:c r="B305" t="s">
        <s:v>626</s:v>
      </s:c>
      <s:c r="C305">
        <s:v>4.5</s:v>
      </s:c>
      <s:c r="D305" t="s">
        <s:v>627</s:v>
      </s:c>
    </s:row>
    <s:row x14ac:dyDescent="0.2" r="306" spans="1:4">
      <s:c r="A306" t="s">
        <s:v>565</s:v>
      </s:c>
      <s:c r="B306" t="s">
        <s:v>628</s:v>
      </s:c>
      <s:c r="C306">
        <s:v>2</s:v>
      </s:c>
      <s:c r="D306" t="s">
        <s:v>629</s:v>
      </s:c>
    </s:row>
    <s:row x14ac:dyDescent="0.2" r="307" spans="1:4">
      <s:c r="A307" t="s">
        <s:v>565</s:v>
      </s:c>
      <s:c r="B307" t="s">
        <s:v>630</s:v>
      </s:c>
      <s:c r="C307">
        <s:v>5</s:v>
      </s:c>
      <s:c r="D307" t="s">
        <s:v>631</s:v>
      </s:c>
    </s:row>
    <s:row x14ac:dyDescent="0.2" r="308" spans="1:4">
      <s:c r="A308" t="s">
        <s:v>565</s:v>
      </s:c>
      <s:c r="B308" t="s">
        <s:v>632</s:v>
      </s:c>
      <s:c r="C308">
        <s:v>4.5</s:v>
      </s:c>
      <s:c r="D308" t="s">
        <s:v>633</s:v>
      </s:c>
    </s:row>
    <s:row x14ac:dyDescent="0.2" r="309" spans="1:4">
      <s:c r="A309" t="s">
        <s:v>565</s:v>
      </s:c>
      <s:c r="B309" t="s">
        <s:v>634</s:v>
      </s:c>
      <s:c r="C309">
        <s:v>2</s:v>
      </s:c>
      <s:c r="D309" t="s">
        <s:v>635</s:v>
      </s:c>
    </s:row>
    <s:row x14ac:dyDescent="0.2" r="310" spans="1:4">
      <s:c r="A310" t="s">
        <s:v>565</s:v>
      </s:c>
      <s:c r="B310" t="s">
        <s:v>636</s:v>
      </s:c>
      <s:c r="C310">
        <s:v>4.5</s:v>
      </s:c>
      <s:c r="D310" t="s">
        <s:v>637</s:v>
      </s:c>
    </s:row>
    <s:row x14ac:dyDescent="0.2" r="311" spans="1:4">
      <s:c r="A311" t="s">
        <s:v>565</s:v>
      </s:c>
      <s:c r="B311" t="s">
        <s:v>638</s:v>
      </s:c>
      <s:c r="C311">
        <s:v>3.3</s:v>
      </s:c>
      <s:c r="D311" t="s">
        <s:v>639</s:v>
      </s:c>
    </s:row>
    <s:row x14ac:dyDescent="0.2" r="312" spans="1:4">
      <s:c r="A312" t="s">
        <s:v>640</s:v>
      </s:c>
      <s:c r="B312" t="s">
        <s:v>641</s:v>
      </s:c>
      <s:c r="C312">
        <s:v>1</s:v>
      </s:c>
      <s:c r="D312" t="s">
        <s:v>642</s:v>
      </s:c>
    </s:row>
    <s:row x14ac:dyDescent="0.2" r="313" spans="1:4">
      <s:c r="A313" t="s">
        <s:v>640</s:v>
      </s:c>
      <s:c r="B313" t="s">
        <s:v>643</s:v>
      </s:c>
      <s:c r="C313">
        <s:v>1</s:v>
      </s:c>
      <s:c r="D313" t="s">
        <s:v>644</s:v>
      </s:c>
    </s:row>
    <s:row x14ac:dyDescent="0.2" r="314" spans="1:4">
      <s:c r="A314" t="s">
        <s:v>640</s:v>
      </s:c>
      <s:c r="B314" t="s">
        <s:v>645</s:v>
      </s:c>
      <s:c r="C314">
        <s:v>1</s:v>
      </s:c>
      <s:c r="D314" t="s">
        <s:v>646</s:v>
      </s:c>
    </s:row>
    <s:row x14ac:dyDescent="0.2" r="315" spans="1:4">
      <s:c r="A315" t="s">
        <s:v>640</s:v>
      </s:c>
      <s:c r="B315" t="s">
        <s:v>647</s:v>
      </s:c>
      <s:c r="C315">
        <s:v>1</s:v>
      </s:c>
      <s:c r="D315" t="s">
        <s:v>648</s:v>
      </s:c>
    </s:row>
    <s:row x14ac:dyDescent="0.2" r="316" spans="1:4">
      <s:c r="A316" t="s">
        <s:v>640</s:v>
      </s:c>
      <s:c r="B316" t="s">
        <s:v>649</s:v>
      </s:c>
      <s:c r="C316">
        <s:v>1.5</s:v>
      </s:c>
      <s:c r="D316" t="s">
        <s:v>650</s:v>
      </s:c>
    </s:row>
    <s:row x14ac:dyDescent="0.2" r="317" spans="1:4">
      <s:c r="A317" t="s">
        <s:v>640</s:v>
      </s:c>
      <s:c r="B317" t="s">
        <s:v>651</s:v>
      </s:c>
      <s:c r="C317">
        <s:v>1.8</s:v>
      </s:c>
      <s:c r="D317" t="s">
        <s:v>652</s:v>
      </s:c>
    </s:row>
    <s:row x14ac:dyDescent="0.2" r="318" spans="1:4">
      <s:c r="A318" t="s">
        <s:v>640</s:v>
      </s:c>
      <s:c r="B318" t="s">
        <s:v>653</s:v>
      </s:c>
      <s:c r="C318">
        <s:v>1.3</s:v>
      </s:c>
      <s:c r="D318" t="s">
        <s:v>654</s:v>
      </s:c>
    </s:row>
    <s:row x14ac:dyDescent="0.2" r="319" spans="1:4">
      <s:c r="A319" t="s">
        <s:v>640</s:v>
      </s:c>
      <s:c r="B319" t="s">
        <s:v>655</s:v>
      </s:c>
      <s:c r="C319">
        <s:v>1.5</s:v>
      </s:c>
      <s:c r="D319" t="s">
        <s:v>656</s:v>
      </s:c>
    </s:row>
    <s:row x14ac:dyDescent="0.2" r="320" spans="1:4">
      <s:c r="A320" t="s">
        <s:v>640</s:v>
      </s:c>
      <s:c r="B320" t="s">
        <s:v>657</s:v>
      </s:c>
      <s:c r="C320">
        <s:v>1.3</s:v>
      </s:c>
      <s:c r="D320" t="s">
        <s:v>658</s:v>
      </s:c>
    </s:row>
    <s:row x14ac:dyDescent="0.2" r="321" spans="1:4">
      <s:c r="A321" t="s">
        <s:v>640</s:v>
      </s:c>
      <s:c r="B321" t="s">
        <s:v>659</s:v>
      </s:c>
      <s:c r="C321">
        <s:v>1</s:v>
      </s:c>
      <s:c r="D321" t="s">
        <s:v>660</s:v>
      </s:c>
    </s:row>
    <s:row x14ac:dyDescent="0.2" r="322" spans="1:4">
      <s:c r="A322" t="s">
        <s:v>640</s:v>
      </s:c>
      <s:c r="B322" t="s">
        <s:v>661</s:v>
      </s:c>
      <s:c r="C322">
        <s:v>1.3</s:v>
      </s:c>
      <s:c r="D322" t="s">
        <s:v>662</s:v>
      </s:c>
    </s:row>
    <s:row x14ac:dyDescent="0.2" r="323" spans="1:4">
      <s:c r="A323" t="s">
        <s:v>640</s:v>
      </s:c>
      <s:c r="B323" t="s">
        <s:v>663</s:v>
      </s:c>
      <s:c r="C323">
        <s:v>1.5</s:v>
      </s:c>
      <s:c r="D323" t="s">
        <s:v>664</s:v>
      </s:c>
    </s:row>
    <s:row x14ac:dyDescent="0.2" r="324" spans="1:4">
      <s:c r="A324" t="s">
        <s:v>640</s:v>
      </s:c>
      <s:c r="B324" t="s">
        <s:v>665</s:v>
      </s:c>
      <s:c r="C324">
        <s:v>1.3</s:v>
      </s:c>
      <s:c r="D324" t="s">
        <s:v>666</s:v>
      </s:c>
    </s:row>
    <s:row x14ac:dyDescent="0.2" r="325" spans="1:4">
      <s:c r="A325" t="s">
        <s:v>640</s:v>
      </s:c>
      <s:c r="B325" t="s">
        <s:v>667</s:v>
      </s:c>
      <s:c r="C325">
        <s:v>1.5</s:v>
      </s:c>
      <s:c r="D325" t="s">
        <s:v>668</s:v>
      </s:c>
    </s:row>
    <s:row x14ac:dyDescent="0.2" r="326" spans="1:4">
      <s:c r="A326" t="s">
        <s:v>640</s:v>
      </s:c>
      <s:c r="B326" t="s">
        <s:v>669</s:v>
      </s:c>
      <s:c r="C326">
        <s:v>1.3</s:v>
      </s:c>
      <s:c r="D326" t="s">
        <s:v>670</s:v>
      </s:c>
    </s:row>
    <s:row x14ac:dyDescent="0.2" r="327" spans="1:4">
      <s:c r="A327" t="s">
        <s:v>640</s:v>
      </s:c>
      <s:c r="B327" t="s">
        <s:v>671</s:v>
      </s:c>
      <s:c r="C327">
        <s:v>1.3</s:v>
      </s:c>
      <s:c r="D327" t="s">
        <s:v>672</s:v>
      </s:c>
    </s:row>
    <s:row x14ac:dyDescent="0.2" r="328" spans="1:4">
      <s:c r="A328" t="s">
        <s:v>640</s:v>
      </s:c>
      <s:c r="B328" t="s">
        <s:v>673</s:v>
      </s:c>
      <s:c r="C328">
        <s:v>1</s:v>
      </s:c>
      <s:c r="D328" t="s">
        <s:v>674</s:v>
      </s:c>
    </s:row>
    <s:row x14ac:dyDescent="0.2" r="329" spans="1:4">
      <s:c r="A329" t="s">
        <s:v>675</s:v>
      </s:c>
      <s:c r="B329" t="s">
        <s:v>676</s:v>
      </s:c>
      <s:c r="C329">
        <s:v>4.0999999999999996</s:v>
      </s:c>
      <s:c r="D329" t="s">
        <s:v>677</s:v>
      </s:c>
    </s:row>
    <s:row x14ac:dyDescent="0.2" r="330" spans="1:4">
      <s:c r="A330" t="s">
        <s:v>675</s:v>
      </s:c>
      <s:c r="B330" t="s">
        <s:v>678</s:v>
      </s:c>
      <s:c r="C330">
        <s:v>5.5</s:v>
      </s:c>
      <s:c r="D330" t="s">
        <s:v>679</s:v>
      </s:c>
    </s:row>
    <s:row x14ac:dyDescent="0.2" r="331" spans="1:4">
      <s:c r="A331" t="s">
        <s:v>675</s:v>
      </s:c>
      <s:c r="B331" t="s">
        <s:v>680</s:v>
      </s:c>
      <s:c r="C331">
        <s:v>4.5</s:v>
      </s:c>
      <s:c r="D331" t="s">
        <s:v>681</s:v>
      </s:c>
    </s:row>
    <s:row x14ac:dyDescent="0.2" r="332" spans="1:4">
      <s:c r="A332" t="s">
        <s:v>675</s:v>
      </s:c>
      <s:c r="B332" t="s">
        <s:v>682</s:v>
      </s:c>
      <s:c r="C332">
        <s:v>6.5</s:v>
      </s:c>
      <s:c r="D332" t="s">
        <s:v>683</s:v>
      </s:c>
    </s:row>
    <s:row x14ac:dyDescent="0.2" r="333" spans="1:4">
      <s:c r="A333" t="s">
        <s:v>675</s:v>
      </s:c>
      <s:c r="B333" t="s">
        <s:v>684</s:v>
      </s:c>
      <s:c r="C333">
        <s:v>3.5</s:v>
      </s:c>
      <s:c r="D333" t="s">
        <s:v>685</s:v>
      </s:c>
    </s:row>
    <s:row x14ac:dyDescent="0.2" r="334" spans="1:4">
      <s:c r="A334" t="s">
        <s:v>675</s:v>
      </s:c>
      <s:c r="B334" t="s">
        <s:v>686</s:v>
      </s:c>
      <s:c r="C334">
        <s:v>6.3</s:v>
      </s:c>
      <s:c r="D334" t="s">
        <s:v>687</s:v>
      </s:c>
    </s:row>
    <s:row x14ac:dyDescent="0.2" r="335" spans="1:4">
      <s:c r="A335" t="s">
        <s:v>675</s:v>
      </s:c>
      <s:c r="B335" t="s">
        <s:v>688</s:v>
      </s:c>
      <s:c r="C335">
        <s:v>5</s:v>
      </s:c>
      <s:c r="D335" t="s">
        <s:v>689</s:v>
      </s:c>
    </s:row>
    <s:row x14ac:dyDescent="0.2" r="336" spans="1:4">
      <s:c r="A336" t="s">
        <s:v>675</s:v>
      </s:c>
      <s:c r="B336" t="s">
        <s:v>690</s:v>
      </s:c>
      <s:c r="C336">
        <s:v>3.5</s:v>
      </s:c>
      <s:c r="D336" t="s">
        <s:v>691</s:v>
      </s:c>
    </s:row>
    <s:row x14ac:dyDescent="0.2" r="337" spans="1:4">
      <s:c r="A337" t="s">
        <s:v>675</s:v>
      </s:c>
      <s:c r="B337" t="s">
        <s:v>692</s:v>
      </s:c>
      <s:c r="C337">
        <s:v>5</s:v>
      </s:c>
      <s:c r="D337" t="s">
        <s:v>693</s:v>
      </s:c>
    </s:row>
    <s:row x14ac:dyDescent="0.2" r="338" spans="1:4">
      <s:c r="A338" t="s">
        <s:v>675</s:v>
      </s:c>
      <s:c r="B338" t="s">
        <s:v>694</s:v>
      </s:c>
      <s:c r="C338">
        <s:v>7.3</s:v>
      </s:c>
      <s:c r="D338" t="s">
        <s:v>695</s:v>
      </s:c>
    </s:row>
    <s:row x14ac:dyDescent="0.2" r="339" spans="1:4">
      <s:c r="A339" t="s">
        <s:v>675</s:v>
      </s:c>
      <s:c r="B339" t="s">
        <s:v>696</s:v>
      </s:c>
      <s:c r="C339">
        <s:v>2.8</s:v>
      </s:c>
      <s:c r="D339" t="s">
        <s:v>697</s:v>
      </s:c>
    </s:row>
    <s:row x14ac:dyDescent="0.2" r="340" spans="1:4">
      <s:c r="A340" t="s">
        <s:v>675</s:v>
      </s:c>
      <s:c r="B340" t="s">
        <s:v>698</s:v>
      </s:c>
      <s:c r="C340">
        <s:v>8.3000000000000007</s:v>
      </s:c>
      <s:c r="D340" t="s">
        <s:v>699</s:v>
      </s:c>
    </s:row>
    <s:row x14ac:dyDescent="0.2" r="341" spans="1:4">
      <s:c r="A341" t="s">
        <s:v>675</s:v>
      </s:c>
      <s:c r="B341" t="s">
        <s:v>700</s:v>
      </s:c>
      <s:c r="C341">
        <s:v>5.3</s:v>
      </s:c>
      <s:c r="D341" t="s">
        <s:v>701</s:v>
      </s:c>
    </s:row>
    <s:row x14ac:dyDescent="0.2" r="342" spans="1:4">
      <s:c r="A342" t="s">
        <s:v>675</s:v>
      </s:c>
      <s:c r="B342" t="s">
        <s:v>702</s:v>
      </s:c>
      <s:c r="C342">
        <s:v>5.8</s:v>
      </s:c>
      <s:c r="D342" t="s">
        <s:v>703</s:v>
      </s:c>
    </s:row>
    <s:row x14ac:dyDescent="0.2" r="343" spans="1:4">
      <s:c r="A343" t="s">
        <s:v>675</s:v>
      </s:c>
      <s:c r="B343" t="s">
        <s:v>704</s:v>
      </s:c>
      <s:c r="C343">
        <s:v>2</s:v>
      </s:c>
      <s:c r="D343" t="s">
        <s:v>705</s:v>
      </s:c>
    </s:row>
    <s:row x14ac:dyDescent="0.2" r="344" spans="1:4">
      <s:c r="A344" t="s">
        <s:v>675</s:v>
      </s:c>
      <s:c r="B344" t="s">
        <s:v>706</s:v>
      </s:c>
      <s:c r="C344">
        <s:v>4</s:v>
      </s:c>
      <s:c r="D344" t="s">
        <s:v>707</s:v>
      </s:c>
    </s:row>
    <s:row x14ac:dyDescent="0.2" r="345" spans="1:4">
      <s:c r="A345" t="s">
        <s:v>675</s:v>
      </s:c>
      <s:c r="B345" t="s">
        <s:v>708</s:v>
      </s:c>
      <s:c r="C345">
        <s:v>6.3</s:v>
      </s:c>
      <s:c r="D345" t="s">
        <s:v>709</s:v>
      </s:c>
    </s:row>
    <s:row x14ac:dyDescent="0.2" r="346" spans="1:4">
      <s:c r="A346" t="s">
        <s:v>675</s:v>
      </s:c>
      <s:c r="B346" t="s">
        <s:v>710</s:v>
      </s:c>
      <s:c r="C346">
        <s:v>5</s:v>
      </s:c>
      <s:c r="D346" t="s">
        <s:v>711</s:v>
      </s:c>
    </s:row>
    <s:row x14ac:dyDescent="0.2" r="347" spans="1:4">
      <s:c r="A347" t="s">
        <s:v>675</s:v>
      </s:c>
      <s:c r="B347" t="s">
        <s:v>712</s:v>
      </s:c>
      <s:c r="C347">
        <s:v>5.5</s:v>
      </s:c>
      <s:c r="D347" t="s">
        <s:v>713</s:v>
      </s:c>
    </s:row>
    <s:row x14ac:dyDescent="0.2" r="348" spans="1:4">
      <s:c r="A348" t="s">
        <s:v>675</s:v>
      </s:c>
      <s:c r="B348" t="s">
        <s:v>714</s:v>
      </s:c>
      <s:c r="C348">
        <s:v>2.5</s:v>
      </s:c>
      <s:c r="D348" t="s">
        <s:v>715</s:v>
      </s:c>
    </s:row>
    <s:row x14ac:dyDescent="0.2" r="349" spans="1:4">
      <s:c r="A349" t="s">
        <s:v>675</s:v>
      </s:c>
      <s:c r="B349" t="s">
        <s:v>716</s:v>
      </s:c>
      <s:c r="C349">
        <s:v>6</s:v>
      </s:c>
      <s:c r="D349" t="s">
        <s:v>717</s:v>
      </s:c>
    </s:row>
    <s:row x14ac:dyDescent="0.2" r="350" spans="1:4">
      <s:c r="A350" t="s">
        <s:v>675</s:v>
      </s:c>
      <s:c r="B350" t="s">
        <s:v>718</s:v>
      </s:c>
      <s:c r="C350">
        <s:v>5</s:v>
      </s:c>
      <s:c r="D350" t="s">
        <s:v>719</s:v>
      </s:c>
    </s:row>
    <s:row x14ac:dyDescent="0.2" r="351" spans="1:4">
      <s:c r="A351" t="s">
        <s:v>675</s:v>
      </s:c>
      <s:c r="B351" t="s">
        <s:v>720</s:v>
      </s:c>
      <s:c r="C351">
        <s:v>4.5</s:v>
      </s:c>
      <s:c r="D351" t="s">
        <s:v>721</s:v>
      </s:c>
    </s:row>
    <s:row x14ac:dyDescent="0.2" r="352" spans="1:4">
      <s:c r="A352" t="s">
        <s:v>675</s:v>
      </s:c>
      <s:c r="B352" t="s">
        <s:v>722</s:v>
      </s:c>
      <s:c r="C352">
        <s:v>2.5</s:v>
      </s:c>
      <s:c r="D352" t="s">
        <s:v>723</s:v>
      </s:c>
    </s:row>
    <s:row x14ac:dyDescent="0.2" r="353" spans="1:4">
      <s:c r="A353" t="s">
        <s:v>675</s:v>
      </s:c>
      <s:c r="B353" t="s">
        <s:v>724</s:v>
      </s:c>
      <s:c r="C353">
        <s:v>2.6</s:v>
      </s:c>
      <s:c r="D353" t="s">
        <s:v>725</s:v>
      </s:c>
    </s:row>
    <s:row x14ac:dyDescent="0.2" r="354" spans="1:4">
      <s:c r="A354" t="s">
        <s:v>675</s:v>
      </s:c>
      <s:c r="B354" t="s">
        <s:v>726</s:v>
      </s:c>
      <s:c r="C354">
        <s:v>4.3</s:v>
      </s:c>
      <s:c r="D354" t="s">
        <s:v>727</s:v>
      </s:c>
    </s:row>
    <s:row x14ac:dyDescent="0.2" r="355" spans="1:4">
      <s:c r="A355" t="s">
        <s:v>675</s:v>
      </s:c>
      <s:c r="B355" t="s">
        <s:v>728</s:v>
      </s:c>
      <s:c r="C355">
        <s:v>4.3</s:v>
      </s:c>
      <s:c r="D355" t="s">
        <s:v>729</s:v>
      </s:c>
    </s:row>
    <s:row x14ac:dyDescent="0.2" r="356" spans="1:4">
      <s:c r="A356" t="s">
        <s:v>675</s:v>
      </s:c>
      <s:c r="B356" t="s">
        <s:v>730</s:v>
      </s:c>
      <s:c r="C356">
        <s:v>4.5</s:v>
      </s:c>
      <s:c r="D356" t="s">
        <s:v>731</s:v>
      </s:c>
    </s:row>
    <s:row x14ac:dyDescent="0.2" r="357" spans="1:4">
      <s:c r="A357" t="s">
        <s:v>675</s:v>
      </s:c>
      <s:c r="B357" t="s">
        <s:v>732</s:v>
      </s:c>
      <s:c r="C357">
        <s:v>4</s:v>
      </s:c>
      <s:c r="D357" t="s">
        <s:v>733</s:v>
      </s:c>
    </s:row>
    <s:row x14ac:dyDescent="0.2" r="358" spans="1:4">
      <s:c r="A358" t="s">
        <s:v>675</s:v>
      </s:c>
      <s:c r="B358" t="s">
        <s:v>734</s:v>
      </s:c>
      <s:c r="C358">
        <s:v>4</s:v>
      </s:c>
      <s:c r="D358" t="s">
        <s:v>735</s:v>
      </s:c>
    </s:row>
    <s:row x14ac:dyDescent="0.2" r="359" spans="1:4">
      <s:c r="A359" t="s">
        <s:v>675</s:v>
      </s:c>
      <s:c r="B359" t="s">
        <s:v>736</s:v>
      </s:c>
      <s:c r="C359">
        <s:v>4</s:v>
      </s:c>
      <s:c r="D359" t="s">
        <s:v>737</s:v>
      </s:c>
    </s:row>
    <s:row x14ac:dyDescent="0.2" r="360" spans="1:4">
      <s:c r="A360" t="s">
        <s:v>675</s:v>
      </s:c>
      <s:c r="B360" t="s">
        <s:v>738</s:v>
      </s:c>
      <s:c r="C360">
        <s:v>3</s:v>
      </s:c>
      <s:c r="D360" t="s">
        <s:v>739</s:v>
      </s:c>
    </s:row>
    <s:row x14ac:dyDescent="0.2" r="361" spans="1:4">
      <s:c r="A361" t="s">
        <s:v>675</s:v>
      </s:c>
      <s:c r="B361" t="s">
        <s:v>740</s:v>
      </s:c>
      <s:c r="C361">
        <s:v>4</s:v>
      </s:c>
      <s:c r="D361" t="s">
        <s:v>741</s:v>
      </s:c>
    </s:row>
    <s:row x14ac:dyDescent="0.2" r="362" spans="1:4">
      <s:c r="A362" t="s">
        <s:v>675</s:v>
      </s:c>
      <s:c r="B362" t="s">
        <s:v>742</s:v>
      </s:c>
      <s:c r="C362">
        <s:v>5.5</s:v>
      </s:c>
      <s:c r="D362" t="s">
        <s:v>743</s:v>
      </s:c>
    </s:row>
    <s:row x14ac:dyDescent="0.2" r="363" spans="1:4">
      <s:c r="A363" t="s">
        <s:v>675</s:v>
      </s:c>
      <s:c r="B363" t="s">
        <s:v>744</s:v>
      </s:c>
      <s:c r="C363">
        <s:v>5.3</s:v>
      </s:c>
      <s:c r="D363" t="s">
        <s:v>745</s:v>
      </s:c>
    </s:row>
    <s:row x14ac:dyDescent="0.2" r="364" spans="1:4">
      <s:c r="A364" t="s">
        <s:v>675</s:v>
      </s:c>
      <s:c r="B364" t="s">
        <s:v>746</s:v>
      </s:c>
      <s:c r="C364">
        <s:v>6</s:v>
      </s:c>
      <s:c r="D364" t="s">
        <s:v>747</s:v>
      </s:c>
    </s:row>
    <s:row x14ac:dyDescent="0.2" r="365" spans="1:4">
      <s:c r="A365" t="s">
        <s:v>675</s:v>
      </s:c>
      <s:c r="B365" t="s">
        <s:v>748</s:v>
      </s:c>
      <s:c r="C365">
        <s:v>7.5</s:v>
      </s:c>
      <s:c r="D365" t="s">
        <s:v>749</s:v>
      </s:c>
    </s:row>
    <s:row x14ac:dyDescent="0.2" r="366" spans="1:4">
      <s:c r="A366" t="s">
        <s:v>675</s:v>
      </s:c>
      <s:c r="B366" t="s">
        <s:v>750</s:v>
      </s:c>
      <s:c r="C366">
        <s:v>3.8</s:v>
      </s:c>
      <s:c r="D366" t="s">
        <s:v>751</s:v>
      </s:c>
    </s:row>
    <s:row x14ac:dyDescent="0.2" r="367" spans="1:4">
      <s:c r="A367" t="s">
        <s:v>675</s:v>
      </s:c>
      <s:c r="B367" t="s">
        <s:v>752</s:v>
      </s:c>
      <s:c r="C367">
        <s:v>3.3</s:v>
      </s:c>
      <s:c r="D367" t="s">
        <s:v>753</s:v>
      </s:c>
    </s:row>
    <s:row x14ac:dyDescent="0.2" r="368" spans="1:4">
      <s:c r="A368" t="s">
        <s:v>675</s:v>
      </s:c>
      <s:c r="B368" t="s">
        <s:v>754</s:v>
      </s:c>
      <s:c r="C368">
        <s:v>3</s:v>
      </s:c>
      <s:c r="D368" t="s">
        <s:v>755</s:v>
      </s:c>
    </s:row>
    <s:row x14ac:dyDescent="0.2" r="369" spans="1:4">
      <s:c r="A369" t="s">
        <s:v>675</s:v>
      </s:c>
      <s:c r="B369" t="s">
        <s:v>756</s:v>
      </s:c>
      <s:c r="C369">
        <s:v>4</s:v>
      </s:c>
      <s:c r="D369" t="s">
        <s:v>757</s:v>
      </s:c>
    </s:row>
    <s:row x14ac:dyDescent="0.2" r="370" spans="1:4">
      <s:c r="A370" t="s">
        <s:v>675</s:v>
      </s:c>
      <s:c r="B370" t="s">
        <s:v>758</s:v>
      </s:c>
      <s:c r="C370">
        <s:v>3.8</s:v>
      </s:c>
      <s:c r="D370" t="s">
        <s:v>759</s:v>
      </s:c>
    </s:row>
    <s:row x14ac:dyDescent="0.2" r="371" spans="1:4">
      <s:c r="A371" t="s">
        <s:v>675</s:v>
      </s:c>
      <s:c r="B371" t="s">
        <s:v>760</s:v>
      </s:c>
      <s:c r="C371">
        <s:v>4.5</s:v>
      </s:c>
      <s:c r="D371" t="s">
        <s:v>761</s:v>
      </s:c>
    </s:row>
    <s:row x14ac:dyDescent="0.2" r="372" spans="1:4">
      <s:c r="A372" t="s">
        <s:v>675</s:v>
      </s:c>
      <s:c r="B372" t="s">
        <s:v>762</s:v>
      </s:c>
      <s:c r="C372">
        <s:v>5</s:v>
      </s:c>
      <s:c r="D372" t="s">
        <s:v>763</s:v>
      </s:c>
    </s:row>
    <s:row x14ac:dyDescent="0.2" r="373" spans="1:4">
      <s:c r="A373" t="s">
        <s:v>675</s:v>
      </s:c>
      <s:c r="B373" t="s">
        <s:v>764</s:v>
      </s:c>
      <s:c r="C373">
        <s:v>3.8</s:v>
      </s:c>
      <s:c r="D373" t="s">
        <s:v>765</s:v>
      </s:c>
    </s:row>
    <s:row x14ac:dyDescent="0.2" r="374" spans="1:4">
      <s:c r="A374" t="s">
        <s:v>675</s:v>
      </s:c>
      <s:c r="B374" t="s">
        <s:v>766</s:v>
      </s:c>
      <s:c r="C374">
        <s:v>3.5</s:v>
      </s:c>
      <s:c r="D374" t="s">
        <s:v>767</s:v>
      </s:c>
    </s:row>
    <s:row x14ac:dyDescent="0.2" r="375" spans="1:4">
      <s:c r="A375" t="s">
        <s:v>675</s:v>
      </s:c>
      <s:c r="B375" t="s">
        <s:v>768</s:v>
      </s:c>
      <s:c r="C375">
        <s:v>4.5</s:v>
      </s:c>
      <s:c r="D375" t="s">
        <s:v>769</s:v>
      </s:c>
    </s:row>
    <s:row x14ac:dyDescent="0.2" r="376" spans="1:4">
      <s:c r="A376" t="s">
        <s:v>675</s:v>
      </s:c>
      <s:c r="B376" t="s">
        <s:v>770</s:v>
      </s:c>
      <s:c r="C376">
        <s:v>3</s:v>
      </s:c>
      <s:c r="D376" t="s">
        <s:v>771</s:v>
      </s:c>
    </s:row>
    <s:row x14ac:dyDescent="0.2" r="377" spans="1:4">
      <s:c r="A377" t="s">
        <s:v>675</s:v>
      </s:c>
      <s:c r="B377" t="s">
        <s:v>772</s:v>
      </s:c>
      <s:c r="C377">
        <s:v>3</s:v>
      </s:c>
      <s:c r="D377" t="s">
        <s:v>773</s:v>
      </s:c>
    </s:row>
    <s:row x14ac:dyDescent="0.2" r="378" spans="1:4">
      <s:c r="A378" t="s">
        <s:v>675</s:v>
      </s:c>
      <s:c r="B378" t="s">
        <s:v>774</s:v>
      </s:c>
      <s:c r="C378">
        <s:v>4.8</s:v>
      </s:c>
      <s:c r="D378" t="s">
        <s:v>775</s:v>
      </s:c>
    </s:row>
    <s:row x14ac:dyDescent="0.2" r="379" spans="1:4">
      <s:c r="A379" t="s">
        <s:v>675</s:v>
      </s:c>
      <s:c r="B379" t="s">
        <s:v>776</s:v>
      </s:c>
      <s:c r="C379">
        <s:v>6</s:v>
      </s:c>
      <s:c r="D379" t="s">
        <s:v>777</s:v>
      </s:c>
    </s:row>
    <s:row x14ac:dyDescent="0.2" r="380" spans="1:4">
      <s:c r="A380" t="s">
        <s:v>675</s:v>
      </s:c>
      <s:c r="B380" t="s">
        <s:v>778</s:v>
      </s:c>
      <s:c r="C380">
        <s:v>2.2999999999999998</s:v>
      </s:c>
      <s:c r="D380" t="s">
        <s:v>779</s:v>
      </s:c>
    </s:row>
    <s:row x14ac:dyDescent="0.2" r="381" spans="1:4">
      <s:c r="A381" t="s">
        <s:v>675</s:v>
      </s:c>
      <s:c r="B381" t="s">
        <s:v>780</s:v>
      </s:c>
      <s:c r="C381">
        <s:v>4</s:v>
      </s:c>
      <s:c r="D381" t="s">
        <s:v>781</s:v>
      </s:c>
    </s:row>
    <s:row x14ac:dyDescent="0.2" r="382" spans="1:4">
      <s:c r="A382" t="s">
        <s:v>675</s:v>
      </s:c>
      <s:c r="B382" t="s">
        <s:v>782</s:v>
      </s:c>
      <s:c r="C382">
        <s:v>6</s:v>
      </s:c>
      <s:c r="D382" t="s">
        <s:v>783</s:v>
      </s:c>
    </s:row>
    <s:row x14ac:dyDescent="0.2" r="383" spans="1:4">
      <s:c r="A383" t="s">
        <s:v>784</s:v>
      </s:c>
      <s:c r="B383" t="s">
        <s:v>785</s:v>
      </s:c>
      <s:c r="C383">
        <s:v>1.3</s:v>
      </s:c>
      <s:c r="D383" t="s">
        <s:v>786</s:v>
      </s:c>
    </s:row>
    <s:row x14ac:dyDescent="0.2" r="384" spans="1:4">
      <s:c r="A384" t="s">
        <s:v>784</s:v>
      </s:c>
      <s:c r="B384" t="s">
        <s:v>787</s:v>
      </s:c>
      <s:c r="C384">
        <s:v>2.5</s:v>
      </s:c>
      <s:c r="D384" t="s">
        <s:v>788</s:v>
      </s:c>
    </s:row>
    <s:row x14ac:dyDescent="0.2" r="385" spans="1:4">
      <s:c r="A385" t="s">
        <s:v>784</s:v>
      </s:c>
      <s:c r="B385" t="s">
        <s:v>789</s:v>
      </s:c>
      <s:c r="C385">
        <s:v>1.5</s:v>
      </s:c>
      <s:c r="D385" t="s">
        <s:v>790</s:v>
      </s:c>
    </s:row>
    <s:row x14ac:dyDescent="0.2" r="386" spans="1:4">
      <s:c r="A386" t="s">
        <s:v>784</s:v>
      </s:c>
      <s:c r="B386" t="s">
        <s:v>791</s:v>
      </s:c>
      <s:c r="C386">
        <s:v>1.5</s:v>
      </s:c>
      <s:c r="D386" t="s">
        <s:v>792</s:v>
      </s:c>
    </s:row>
    <s:row x14ac:dyDescent="0.2" r="387" spans="1:4">
      <s:c r="A387" t="s">
        <s:v>784</s:v>
      </s:c>
      <s:c r="B387" t="s">
        <s:v>793</s:v>
      </s:c>
      <s:c r="C387">
        <s:v>1.5</s:v>
      </s:c>
      <s:c r="D387" t="s">
        <s:v>794</s:v>
      </s:c>
    </s:row>
    <s:row x14ac:dyDescent="0.2" r="388" spans="1:4">
      <s:c r="A388" t="s">
        <s:v>784</s:v>
      </s:c>
      <s:c r="B388" t="s">
        <s:v>795</s:v>
      </s:c>
      <s:c r="C388">
        <s:v>1.8</s:v>
      </s:c>
      <s:c r="D388" t="s">
        <s:v>796</s:v>
      </s:c>
    </s:row>
    <s:row x14ac:dyDescent="0.2" r="389" spans="1:4">
      <s:c r="A389" t="s">
        <s:v>784</s:v>
      </s:c>
      <s:c r="B389" t="s">
        <s:v>797</s:v>
      </s:c>
      <s:c r="C389">
        <s:v>1</s:v>
      </s:c>
      <s:c r="D389" t="s">
        <s:v>798</s:v>
      </s:c>
    </s:row>
    <s:row x14ac:dyDescent="0.2" r="390" spans="1:4">
      <s:c r="A390" t="s">
        <s:v>784</s:v>
      </s:c>
      <s:c r="B390" t="s">
        <s:v>799</s:v>
      </s:c>
      <s:c r="C390">
        <s:v>1</s:v>
      </s:c>
      <s:c r="D390" t="s">
        <s:v>800</s:v>
      </s:c>
    </s:row>
    <s:row x14ac:dyDescent="0.2" r="391" spans="1:4">
      <s:c r="A391" t="s">
        <s:v>784</s:v>
      </s:c>
      <s:c r="B391" t="s">
        <s:v>801</s:v>
      </s:c>
      <s:c r="C391">
        <s:v>1.8</s:v>
      </s:c>
      <s:c r="D391" t="s">
        <s:v>802</s:v>
      </s:c>
    </s:row>
    <s:row x14ac:dyDescent="0.2" r="392" spans="1:4">
      <s:c r="A392" t="s">
        <s:v>784</s:v>
      </s:c>
      <s:c r="B392" t="s">
        <s:v>803</s:v>
      </s:c>
      <s:c r="C392">
        <s:v>2</s:v>
      </s:c>
      <s:c r="D392" t="s">
        <s:v>804</s:v>
      </s:c>
    </s:row>
    <s:row x14ac:dyDescent="0.2" r="393" spans="1:4">
      <s:c r="A393" t="s">
        <s:v>784</s:v>
      </s:c>
      <s:c r="B393" t="s">
        <s:v>805</s:v>
      </s:c>
      <s:c r="C393">
        <s:v>1.3</s:v>
      </s:c>
      <s:c r="D393" t="s">
        <s:v>806</s:v>
      </s:c>
    </s:row>
    <s:row x14ac:dyDescent="0.2" r="394" spans="1:4">
      <s:c r="A394" t="s">
        <s:v>784</s:v>
      </s:c>
      <s:c r="B394" t="s">
        <s:v>807</s:v>
      </s:c>
      <s:c r="C394">
        <s:v>1.3</s:v>
      </s:c>
      <s:c r="D394" t="s">
        <s:v>808</s:v>
      </s:c>
    </s:row>
    <s:row x14ac:dyDescent="0.2" r="395" spans="1:4">
      <s:c r="A395" t="s">
        <s:v>784</s:v>
      </s:c>
      <s:c r="B395" t="s">
        <s:v>809</s:v>
      </s:c>
      <s:c r="C395">
        <s:v>1.3</s:v>
      </s:c>
      <s:c r="D395" t="s">
        <s:v>810</s:v>
      </s:c>
    </s:row>
    <s:row x14ac:dyDescent="0.2" r="396" spans="1:4">
      <s:c r="A396" t="s">
        <s:v>784</s:v>
      </s:c>
      <s:c r="B396" t="s">
        <s:v>811</s:v>
      </s:c>
      <s:c r="C396">
        <s:v>1.5</s:v>
      </s:c>
      <s:c r="D396" t="s">
        <s:v>812</s:v>
      </s:c>
    </s:row>
    <s:row x14ac:dyDescent="0.2" r="397" spans="1:4">
      <s:c r="A397" t="s">
        <s:v>784</s:v>
      </s:c>
      <s:c r="B397" t="s">
        <s:v>813</s:v>
      </s:c>
      <s:c r="C397">
        <s:v>1.8</s:v>
      </s:c>
      <s:c r="D397" t="s">
        <s:v>814</s:v>
      </s:c>
    </s:row>
    <s:row x14ac:dyDescent="0.2" r="398" spans="1:4">
      <s:c r="A398" t="s">
        <s:v>784</s:v>
      </s:c>
      <s:c r="B398" t="s">
        <s:v>815</s:v>
      </s:c>
      <s:c r="C398">
        <s:v>1</s:v>
      </s:c>
      <s:c r="D398" t="s">
        <s:v>816</s:v>
      </s:c>
    </s:row>
    <s:row x14ac:dyDescent="0.2" r="399" spans="1:4">
      <s:c r="A399" t="s">
        <s:v>784</s:v>
      </s:c>
      <s:c r="B399" t="s">
        <s:v>817</s:v>
      </s:c>
      <s:c r="C399">
        <s:v>2.5</s:v>
      </s:c>
      <s:c r="D399" t="s">
        <s:v>818</s:v>
      </s:c>
    </s:row>
    <s:row x14ac:dyDescent="0.2" r="400" spans="1:4">
      <s:c r="A400" t="s">
        <s:v>784</s:v>
      </s:c>
      <s:c r="B400" t="s">
        <s:v>819</s:v>
      </s:c>
      <s:c r="C400">
        <s:v>1.8</s:v>
      </s:c>
      <s:c r="D400" t="s">
        <s:v>820</s:v>
      </s:c>
    </s:row>
    <s:row x14ac:dyDescent="0.2" r="401" spans="1:4">
      <s:c r="A401" t="s">
        <s:v>784</s:v>
      </s:c>
      <s:c r="B401" t="s">
        <s:v>821</s:v>
      </s:c>
      <s:c r="C401">
        <s:v>3</s:v>
      </s:c>
      <s:c r="D401" t="s">
        <s:v>822</s:v>
      </s:c>
    </s:row>
    <s:row x14ac:dyDescent="0.2" r="402" spans="1:4">
      <s:c r="A402" t="s">
        <s:v>784</s:v>
      </s:c>
      <s:c r="B402" t="s">
        <s:v>823</s:v>
      </s:c>
      <s:c r="C402">
        <s:v>2.5</s:v>
      </s:c>
      <s:c r="D402" t="s">
        <s:v>824</s:v>
      </s:c>
    </s:row>
    <s:row x14ac:dyDescent="0.2" r="403" spans="1:4">
      <s:c r="A403" t="s">
        <s:v>784</s:v>
      </s:c>
      <s:c r="B403" t="s">
        <s:v>825</s:v>
      </s:c>
      <s:c r="C403">
        <s:v>3.3</s:v>
      </s:c>
      <s:c r="D403" t="s">
        <s:v>826</s:v>
      </s:c>
    </s:row>
    <s:row x14ac:dyDescent="0.2" r="404" spans="1:4">
      <s:c r="A404" t="s">
        <s:v>784</s:v>
      </s:c>
      <s:c r="B404" t="s">
        <s:v>827</s:v>
      </s:c>
      <s:c r="C404">
        <s:v>3.5</s:v>
      </s:c>
      <s:c r="D404" t="s">
        <s:v>828</s:v>
      </s:c>
    </s:row>
    <s:row x14ac:dyDescent="0.2" r="405" spans="1:4">
      <s:c r="A405" t="s">
        <s:v>784</s:v>
      </s:c>
      <s:c r="B405" t="s">
        <s:v>829</s:v>
      </s:c>
      <s:c r="C405">
        <s:v>1.5</s:v>
      </s:c>
      <s:c r="D405" t="s">
        <s:v>830</s:v>
      </s:c>
    </s:row>
    <s:row x14ac:dyDescent="0.2" r="406" spans="1:4">
      <s:c r="A406" t="s">
        <s:v>784</s:v>
      </s:c>
      <s:c r="B406" t="s">
        <s:v>831</s:v>
      </s:c>
      <s:c r="C406">
        <s:v>2.5</s:v>
      </s:c>
      <s:c r="D406" t="s">
        <s:v>832</s:v>
      </s:c>
    </s:row>
    <s:row x14ac:dyDescent="0.2" r="407" spans="1:4">
      <s:c r="A407" t="s">
        <s:v>784</s:v>
      </s:c>
      <s:c r="B407" t="s">
        <s:v>833</s:v>
      </s:c>
      <s:c r="C407">
        <s:v>2</s:v>
      </s:c>
      <s:c r="D407" t="s">
        <s:v>834</s:v>
      </s:c>
    </s:row>
    <s:row x14ac:dyDescent="0.2" r="408" spans="1:4">
      <s:c r="A408" t="s">
        <s:v>784</s:v>
      </s:c>
      <s:c r="B408" t="s">
        <s:v>835</s:v>
      </s:c>
      <s:c r="C408">
        <s:v>3.5</s:v>
      </s:c>
      <s:c r="D408" t="s">
        <s:v>836</s:v>
      </s:c>
    </s:row>
    <s:row x14ac:dyDescent="0.2" r="409" spans="1:4">
      <s:c r="A409" t="s">
        <s:v>784</s:v>
      </s:c>
      <s:c r="B409" t="s">
        <s:v>837</s:v>
      </s:c>
      <s:c r="C409">
        <s:v>2.5</s:v>
      </s:c>
      <s:c r="D409" t="s">
        <s:v>838</s:v>
      </s:c>
    </s:row>
    <s:row x14ac:dyDescent="0.2" r="410" spans="1:4">
      <s:c r="A410" t="s">
        <s:v>784</s:v>
      </s:c>
      <s:c r="B410" t="s">
        <s:v>839</s:v>
      </s:c>
      <s:c r="C410">
        <s:v>1.5</s:v>
      </s:c>
      <s:c r="D410" t="s">
        <s:v>840</s:v>
      </s:c>
    </s:row>
    <s:row x14ac:dyDescent="0.2" r="411" spans="1:4">
      <s:c r="A411" t="s">
        <s:v>841</s:v>
      </s:c>
      <s:c r="B411" t="s">
        <s:v>842</s:v>
      </s:c>
      <s:c r="C411">
        <s:v>1.8</s:v>
      </s:c>
      <s:c r="D411" t="s">
        <s:v>843</s:v>
      </s:c>
    </s:row>
    <s:row x14ac:dyDescent="0.2" r="412" spans="1:4">
      <s:c r="A412" t="s">
        <s:v>841</s:v>
      </s:c>
      <s:c r="B412" t="s">
        <s:v>844</s:v>
      </s:c>
      <s:c r="C412">
        <s:v>2.2999999999999998</s:v>
      </s:c>
      <s:c r="D412" t="s">
        <s:v>845</s:v>
      </s:c>
    </s:row>
    <s:row x14ac:dyDescent="0.2" r="413" spans="1:4">
      <s:c r="A413" t="s">
        <s:v>841</s:v>
      </s:c>
      <s:c r="B413" t="s">
        <s:v>846</s:v>
      </s:c>
      <s:c r="C413">
        <s:v>2.2999999999999998</s:v>
      </s:c>
      <s:c r="D413" t="s">
        <s:v>847</s:v>
      </s:c>
    </s:row>
    <s:row x14ac:dyDescent="0.2" r="414" spans="1:4">
      <s:c r="A414" t="s">
        <s:v>841</s:v>
      </s:c>
      <s:c r="B414" t="s">
        <s:v>848</s:v>
      </s:c>
      <s:c r="C414">
        <s:v>2.5</s:v>
      </s:c>
      <s:c r="D414" t="s">
        <s:v>849</s:v>
      </s:c>
    </s:row>
    <s:row x14ac:dyDescent="0.2" r="415" spans="1:4">
      <s:c r="A415" t="s">
        <s:v>841</s:v>
      </s:c>
      <s:c r="B415" t="s">
        <s:v>850</s:v>
      </s:c>
      <s:c r="C415">
        <s:v>3.8</s:v>
      </s:c>
      <s:c r="D415" t="s">
        <s:v>851</s:v>
      </s:c>
    </s:row>
    <s:row x14ac:dyDescent="0.2" r="416" spans="1:4">
      <s:c r="A416" t="s">
        <s:v>841</s:v>
      </s:c>
      <s:c r="B416" t="s">
        <s:v>852</s:v>
      </s:c>
      <s:c r="C416">
        <s:v>3</s:v>
      </s:c>
      <s:c r="D416" t="s">
        <s:v>853</s:v>
      </s:c>
    </s:row>
    <s:row x14ac:dyDescent="0.2" r="417" spans="1:4">
      <s:c r="A417" t="s">
        <s:v>841</s:v>
      </s:c>
      <s:c r="B417" t="s">
        <s:v>854</s:v>
      </s:c>
      <s:c r="C417">
        <s:v>8.3000000000000007</s:v>
      </s:c>
      <s:c r="D417" t="s">
        <s:v>855</s:v>
      </s:c>
    </s:row>
    <s:row x14ac:dyDescent="0.2" r="418" spans="1:4">
      <s:c r="A418" t="s">
        <s:v>841</s:v>
      </s:c>
      <s:c r="B418" t="s">
        <s:v>856</s:v>
      </s:c>
      <s:c r="C418">
        <s:v>2</s:v>
      </s:c>
      <s:c r="D418" t="s">
        <s:v>857</s:v>
      </s:c>
    </s:row>
    <s:row x14ac:dyDescent="0.2" r="419" spans="1:4">
      <s:c r="A419" t="s">
        <s:v>841</s:v>
      </s:c>
      <s:c r="B419" t="s">
        <s:v>858</s:v>
      </s:c>
      <s:c r="C419">
        <s:v>1.8</s:v>
      </s:c>
      <s:c r="D419" t="s">
        <s:v>859</s:v>
      </s:c>
    </s:row>
    <s:row x14ac:dyDescent="0.2" r="420" spans="1:4">
      <s:c r="A420" t="s">
        <s:v>841</s:v>
      </s:c>
      <s:c r="B420" t="s">
        <s:v>860</s:v>
      </s:c>
      <s:c r="C420">
        <s:v>2.2999999999999998</s:v>
      </s:c>
      <s:c r="D420" t="s">
        <s:v>861</s:v>
      </s:c>
    </s:row>
    <s:row x14ac:dyDescent="0.2" r="421" spans="1:4">
      <s:c r="A421" t="s">
        <s:v>841</s:v>
      </s:c>
      <s:c r="B421" t="s">
        <s:v>862</s:v>
      </s:c>
      <s:c r="C421">
        <s:v>2</s:v>
      </s:c>
      <s:c r="D421" t="s">
        <s:v>863</s:v>
      </s:c>
    </s:row>
    <s:row x14ac:dyDescent="0.2" r="422" spans="1:4">
      <s:c r="A422" t="s">
        <s:v>841</s:v>
      </s:c>
      <s:c r="B422" t="s">
        <s:v>864</s:v>
      </s:c>
      <s:c r="C422">
        <s:v>2</s:v>
      </s:c>
      <s:c r="D422" t="s">
        <s:v>865</s:v>
      </s:c>
    </s:row>
    <s:row x14ac:dyDescent="0.2" r="423" spans="1:4">
      <s:c r="A423" t="s">
        <s:v>841</s:v>
      </s:c>
      <s:c r="B423" t="s">
        <s:v>866</s:v>
      </s:c>
      <s:c r="C423">
        <s:v>3.5</s:v>
      </s:c>
      <s:c r="D423" t="s">
        <s:v>867</s:v>
      </s:c>
    </s:row>
    <s:row x14ac:dyDescent="0.2" r="424" spans="1:4">
      <s:c r="A424" t="s">
        <s:v>841</s:v>
      </s:c>
      <s:c r="B424" t="s">
        <s:v>868</s:v>
      </s:c>
      <s:c r="C424">
        <s:v>2.5</s:v>
      </s:c>
      <s:c r="D424" t="s">
        <s:v>869</s:v>
      </s:c>
    </s:row>
    <s:row x14ac:dyDescent="0.2" r="425" spans="1:4">
      <s:c r="A425" t="s">
        <s:v>841</s:v>
      </s:c>
      <s:c r="B425" t="s">
        <s:v>870</s:v>
      </s:c>
      <s:c r="C425">
        <s:v>2.5</s:v>
      </s:c>
      <s:c r="D425" t="s">
        <s:v>871</s:v>
      </s:c>
    </s:row>
    <s:row x14ac:dyDescent="0.2" r="426" spans="1:4">
      <s:c r="A426" t="s">
        <s:v>841</s:v>
      </s:c>
      <s:c r="B426" t="s">
        <s:v>872</s:v>
      </s:c>
      <s:c r="C426">
        <s:v>1.8</s:v>
      </s:c>
      <s:c r="D426" t="s">
        <s:v>873</s:v>
      </s:c>
    </s:row>
    <s:row x14ac:dyDescent="0.2" r="427" spans="1:4">
      <s:c r="A427" t="s">
        <s:v>841</s:v>
      </s:c>
      <s:c r="B427" t="s">
        <s:v>874</s:v>
      </s:c>
      <s:c r="C427">
        <s:v>1.8</s:v>
      </s:c>
      <s:c r="D427" t="s">
        <s:v>875</s:v>
      </s:c>
    </s:row>
    <s:row x14ac:dyDescent="0.2" r="428" spans="1:4">
      <s:c r="A428" t="s">
        <s:v>841</s:v>
      </s:c>
      <s:c r="B428" t="s">
        <s:v>876</s:v>
      </s:c>
      <s:c r="C428">
        <s:v>2</s:v>
      </s:c>
      <s:c r="D428" t="s">
        <s:v>877</s:v>
      </s:c>
    </s:row>
    <s:row x14ac:dyDescent="0.2" r="429" spans="1:4">
      <s:c r="A429" t="s">
        <s:v>841</s:v>
      </s:c>
      <s:c r="B429" t="s">
        <s:v>878</s:v>
      </s:c>
      <s:c r="C429">
        <s:v>3</s:v>
      </s:c>
      <s:c r="D429" t="s">
        <s:v>879</s:v>
      </s:c>
    </s:row>
    <s:row x14ac:dyDescent="0.2" r="430" spans="1:4">
      <s:c r="A430" t="s">
        <s:v>841</s:v>
      </s:c>
      <s:c r="B430" t="s">
        <s:v>880</s:v>
      </s:c>
      <s:c r="C430">
        <s:v>4</s:v>
      </s:c>
      <s:c r="D430" t="s">
        <s:v>881</s:v>
      </s:c>
    </s:row>
    <s:row x14ac:dyDescent="0.2" r="431" spans="1:4">
      <s:c r="A431" t="s">
        <s:v>841</s:v>
      </s:c>
      <s:c r="B431" t="s">
        <s:v>882</s:v>
      </s:c>
      <s:c r="C431">
        <s:v>5.5</s:v>
      </s:c>
      <s:c r="D431" t="s">
        <s:v>883</s:v>
      </s:c>
    </s:row>
    <s:row x14ac:dyDescent="0.2" r="432" spans="1:4">
      <s:c r="A432" t="s">
        <s:v>841</s:v>
      </s:c>
      <s:c r="B432" t="s">
        <s:v>884</s:v>
      </s:c>
      <s:c r="C432">
        <s:v>3.5</s:v>
      </s:c>
      <s:c r="D432" t="s">
        <s:v>885</s:v>
      </s:c>
    </s:row>
    <s:row x14ac:dyDescent="0.2" r="433" spans="1:4">
      <s:c r="A433" t="s">
        <s:v>886</s:v>
      </s:c>
      <s:c r="B433" t="s">
        <s:v>887</s:v>
      </s:c>
      <s:c r="C433">
        <s:v>2</s:v>
      </s:c>
      <s:c r="D433" t="s">
        <s:v>888</s:v>
      </s:c>
    </s:row>
    <s:row x14ac:dyDescent="0.2" r="434" spans="1:4">
      <s:c r="A434" t="s">
        <s:v>886</s:v>
      </s:c>
      <s:c r="B434" t="s">
        <s:v>889</s:v>
      </s:c>
      <s:c r="C434">
        <s:v>3.5</s:v>
      </s:c>
      <s:c r="D434" t="s">
        <s:v>890</s:v>
      </s:c>
    </s:row>
    <s:row x14ac:dyDescent="0.2" r="435" spans="1:4">
      <s:c r="A435" t="s">
        <s:v>886</s:v>
      </s:c>
      <s:c r="B435" t="s">
        <s:v>891</s:v>
      </s:c>
      <s:c r="C435">
        <s:v>5.3</s:v>
      </s:c>
      <s:c r="D435" t="s">
        <s:v>892</s:v>
      </s:c>
    </s:row>
    <s:row x14ac:dyDescent="0.2" r="436" spans="1:4">
      <s:c r="A436" t="s">
        <s:v>886</s:v>
      </s:c>
      <s:c r="B436" t="s">
        <s:v>893</s:v>
      </s:c>
      <s:c r="C436">
        <s:v>2</s:v>
      </s:c>
      <s:c r="D436" t="s">
        <s:v>894</s:v>
      </s:c>
    </s:row>
    <s:row x14ac:dyDescent="0.2" r="437" spans="1:4">
      <s:c r="A437" t="s">
        <s:v>886</s:v>
      </s:c>
      <s:c r="B437" t="s">
        <s:v>895</s:v>
      </s:c>
      <s:c r="C437">
        <s:v>2.8</s:v>
      </s:c>
      <s:c r="D437" t="s">
        <s:v>896</s:v>
      </s:c>
    </s:row>
    <s:row x14ac:dyDescent="0.2" r="438" spans="1:4">
      <s:c r="A438" t="s">
        <s:v>886</s:v>
      </s:c>
      <s:c r="B438" t="s">
        <s:v>897</s:v>
      </s:c>
      <s:c r="C438">
        <s:v>3</s:v>
      </s:c>
      <s:c r="D438" t="s">
        <s:v>898</s:v>
      </s:c>
    </s:row>
    <s:row x14ac:dyDescent="0.2" r="439" spans="1:4">
      <s:c r="A439" t="s">
        <s:v>886</s:v>
      </s:c>
      <s:c r="B439" t="s">
        <s:v>899</s:v>
      </s:c>
      <s:c r="C439">
        <s:v>4.8</s:v>
      </s:c>
      <s:c r="D439" t="s">
        <s:v>900</s:v>
      </s:c>
    </s:row>
    <s:row x14ac:dyDescent="0.2" r="440" spans="1:4">
      <s:c r="A440" t="s">
        <s:v>886</s:v>
      </s:c>
      <s:c r="B440" t="s">
        <s:v>901</s:v>
      </s:c>
      <s:c r="C440">
        <s:v>4</s:v>
      </s:c>
      <s:c r="D440" t="s">
        <s:v>902</s:v>
      </s:c>
    </s:row>
    <s:row x14ac:dyDescent="0.2" r="441" spans="1:4">
      <s:c r="A441" t="s">
        <s:v>886</s:v>
      </s:c>
      <s:c r="B441" t="s">
        <s:v>903</s:v>
      </s:c>
      <s:c r="C441">
        <s:v>2</s:v>
      </s:c>
      <s:c r="D441" t="s">
        <s:v>904</s:v>
      </s:c>
    </s:row>
    <s:row x14ac:dyDescent="0.2" r="442" spans="1:4">
      <s:c r="A442" t="s">
        <s:v>886</s:v>
      </s:c>
      <s:c r="B442" t="s">
        <s:v>905</s:v>
      </s:c>
      <s:c r="C442">
        <s:v>2.2999999999999998</s:v>
      </s:c>
      <s:c r="D442" t="s">
        <s:v>906</s:v>
      </s:c>
    </s:row>
    <s:row x14ac:dyDescent="0.2" r="443" spans="1:4">
      <s:c r="A443" t="s">
        <s:v>886</s:v>
      </s:c>
      <s:c r="B443" t="s">
        <s:v>907</s:v>
      </s:c>
      <s:c r="C443">
        <s:v>6</s:v>
      </s:c>
      <s:c r="D443" t="s">
        <s:v>908</s:v>
      </s:c>
    </s:row>
    <s:row x14ac:dyDescent="0.2" r="444" spans="1:4">
      <s:c r="A444" t="s">
        <s:v>886</s:v>
      </s:c>
      <s:c r="B444" t="s">
        <s:v>909</s:v>
      </s:c>
      <s:c r="C444">
        <s:v>2</s:v>
      </s:c>
      <s:c r="D444" t="s">
        <s:v>910</s:v>
      </s:c>
    </s:row>
    <s:row x14ac:dyDescent="0.2" r="445" spans="1:4">
      <s:c r="A445" t="s">
        <s:v>886</s:v>
      </s:c>
      <s:c r="B445" t="s">
        <s:v>911</s:v>
      </s:c>
      <s:c r="C445">
        <s:v>2.5</s:v>
      </s:c>
      <s:c r="D445" t="s">
        <s:v>912</s:v>
      </s:c>
    </s:row>
    <s:row x14ac:dyDescent="0.2" r="446" spans="1:4">
      <s:c r="A446" t="s">
        <s:v>886</s:v>
      </s:c>
      <s:c r="B446" t="s">
        <s:v>913</s:v>
      </s:c>
      <s:c r="C446">
        <s:v>4.3</s:v>
      </s:c>
      <s:c r="D446" t="s">
        <s:v>914</s:v>
      </s:c>
    </s:row>
    <s:row x14ac:dyDescent="0.2" r="447" spans="1:4">
      <s:c r="A447" t="s">
        <s:v>886</s:v>
      </s:c>
      <s:c r="B447" t="s">
        <s:v>915</s:v>
      </s:c>
      <s:c r="C447">
        <s:v>7</s:v>
      </s:c>
      <s:c r="D447" t="s">
        <s:v>916</s:v>
      </s:c>
    </s:row>
    <s:row x14ac:dyDescent="0.2" r="448" spans="1:4">
      <s:c r="A448" t="s">
        <s:v>886</s:v>
      </s:c>
      <s:c r="B448" t="s">
        <s:v>917</s:v>
      </s:c>
      <s:c r="C448">
        <s:v>8</s:v>
      </s:c>
      <s:c r="D448" t="s">
        <s:v>918</s:v>
      </s:c>
    </s:row>
    <s:row x14ac:dyDescent="0.2" r="449" spans="1:4">
      <s:c r="A449" t="s">
        <s:v>886</s:v>
      </s:c>
      <s:c r="B449" t="s">
        <s:v>919</s:v>
      </s:c>
      <s:c r="C449">
        <s:v>8</s:v>
      </s:c>
      <s:c r="D449" t="s">
        <s:v>920</s:v>
      </s:c>
    </s:row>
    <s:row x14ac:dyDescent="0.2" r="450" spans="1:4">
      <s:c r="A450" t="s">
        <s:v>886</s:v>
      </s:c>
      <s:c r="B450" t="s">
        <s:v>921</s:v>
      </s:c>
      <s:c r="C450">
        <s:v>4</s:v>
      </s:c>
      <s:c r="D450" t="s">
        <s:v>922</s:v>
      </s:c>
    </s:row>
    <s:row x14ac:dyDescent="0.2" r="451" spans="1:4">
      <s:c r="A451" t="s">
        <s:v>886</s:v>
      </s:c>
      <s:c r="B451" t="s">
        <s:v>923</s:v>
      </s:c>
      <s:c r="C451">
        <s:v>4.3</s:v>
      </s:c>
      <s:c r="D451" t="s">
        <s:v>924</s:v>
      </s:c>
    </s:row>
    <s:row x14ac:dyDescent="0.2" r="452" spans="1:4">
      <s:c r="A452" t="s">
        <s:v>886</s:v>
      </s:c>
      <s:c r="B452" t="s">
        <s:v>925</s:v>
      </s:c>
      <s:c r="C452">
        <s:v>5.3</s:v>
      </s:c>
      <s:c r="D452" t="s">
        <s:v>926</s:v>
      </s:c>
    </s:row>
    <s:row x14ac:dyDescent="0.2" r="453" spans="1:4">
      <s:c r="A453" t="s">
        <s:v>886</s:v>
      </s:c>
      <s:c r="B453" t="s">
        <s:v>927</s:v>
      </s:c>
      <s:c r="C453">
        <s:v>5</s:v>
      </s:c>
      <s:c r="D453" t="s">
        <s:v>928</s:v>
      </s:c>
    </s:row>
    <s:row x14ac:dyDescent="0.2" r="454" spans="1:4">
      <s:c r="A454" t="s">
        <s:v>886</s:v>
      </s:c>
      <s:c r="B454" t="s">
        <s:v>929</s:v>
      </s:c>
      <s:c r="C454">
        <s:v>5.5</s:v>
      </s:c>
      <s:c r="D454" t="s">
        <s:v>930</s:v>
      </s:c>
    </s:row>
    <s:row x14ac:dyDescent="0.2" r="455" spans="1:4">
      <s:c r="A455" t="s">
        <s:v>886</s:v>
      </s:c>
      <s:c r="B455" t="s">
        <s:v>931</s:v>
      </s:c>
      <s:c r="C455">
        <s:v>6.3</s:v>
      </s:c>
      <s:c r="D455" t="s">
        <s:v>932</s:v>
      </s:c>
    </s:row>
    <s:row x14ac:dyDescent="0.2" r="456" spans="1:4">
      <s:c r="A456" t="s">
        <s:v>886</s:v>
      </s:c>
      <s:c r="B456" t="s">
        <s:v>933</s:v>
      </s:c>
      <s:c r="C456">
        <s:v>2.5</s:v>
      </s:c>
      <s:c r="D456" t="s">
        <s:v>934</s:v>
      </s:c>
    </s:row>
    <s:row x14ac:dyDescent="0.2" r="457" spans="1:4">
      <s:c r="A457" t="s">
        <s:v>886</s:v>
      </s:c>
      <s:c r="B457" t="s">
        <s:v>935</s:v>
      </s:c>
      <s:c r="C457">
        <s:v>4</s:v>
      </s:c>
      <s:c r="D457" t="s">
        <s:v>936</s:v>
      </s:c>
    </s:row>
    <s:row x14ac:dyDescent="0.2" r="458" spans="1:4">
      <s:c r="A458" t="s">
        <s:v>886</s:v>
      </s:c>
      <s:c r="B458" t="s">
        <s:v>937</s:v>
      </s:c>
      <s:c r="C458">
        <s:v>2.2999999999999998</s:v>
      </s:c>
      <s:c r="D458" t="s">
        <s:v>938</s:v>
      </s:c>
    </s:row>
    <s:row x14ac:dyDescent="0.2" r="459" spans="1:4">
      <s:c r="A459" t="s">
        <s:v>886</s:v>
      </s:c>
      <s:c r="B459" t="s">
        <s:v>939</s:v>
      </s:c>
      <s:c r="C459">
        <s:v>2.2999999999999998</s:v>
      </s:c>
      <s:c r="D459" t="s">
        <s:v>940</s:v>
      </s:c>
    </s:row>
    <s:row x14ac:dyDescent="0.2" r="460" spans="1:4">
      <s:c r="A460" t="s">
        <s:v>886</s:v>
      </s:c>
      <s:c r="B460" t="s">
        <s:v>941</s:v>
      </s:c>
      <s:c r="C460">
        <s:v>3.8</s:v>
      </s:c>
      <s:c r="D460" t="s">
        <s:v>942</s:v>
      </s:c>
    </s:row>
    <s:row x14ac:dyDescent="0.2" r="461" spans="1:4">
      <s:c r="A461" t="s">
        <s:v>886</s:v>
      </s:c>
      <s:c r="B461" t="s">
        <s:v>943</s:v>
      </s:c>
      <s:c r="C461">
        <s:v>3.3</s:v>
      </s:c>
      <s:c r="D461" t="s">
        <s:v>944</s:v>
      </s:c>
    </s:row>
    <s:row x14ac:dyDescent="0.2" r="462" spans="1:4">
      <s:c r="A462" t="s">
        <s:v>886</s:v>
      </s:c>
      <s:c r="B462" t="s">
        <s:v>945</s:v>
      </s:c>
      <s:c r="C462">
        <s:v>1.8</s:v>
      </s:c>
      <s:c r="D462" t="s">
        <s:v>946</s:v>
      </s:c>
    </s:row>
    <s:row x14ac:dyDescent="0.2" r="463" spans="1:4">
      <s:c r="A463" t="s">
        <s:v>886</s:v>
      </s:c>
      <s:c r="B463" t="s">
        <s:v>947</s:v>
      </s:c>
      <s:c r="C463">
        <s:v>7.8</s:v>
      </s:c>
      <s:c r="D463" t="s">
        <s:v>948</s:v>
      </s:c>
    </s:row>
    <s:row x14ac:dyDescent="0.2" r="464" spans="1:4">
      <s:c r="A464" t="s">
        <s:v>886</s:v>
      </s:c>
      <s:c r="B464" t="s">
        <s:v>949</s:v>
      </s:c>
      <s:c r="C464">
        <s:v>4.8</s:v>
      </s:c>
      <s:c r="D464" t="s">
        <s:v>950</s:v>
      </s:c>
    </s:row>
    <s:row x14ac:dyDescent="0.2" r="465" spans="1:4">
      <s:c r="A465" t="s">
        <s:v>886</s:v>
      </s:c>
      <s:c r="B465" t="s">
        <s:v>951</s:v>
      </s:c>
      <s:c r="C465">
        <s:v>2</s:v>
      </s:c>
      <s:c r="D465" t="s">
        <s:v>952</s:v>
      </s:c>
    </s:row>
    <s:row x14ac:dyDescent="0.2" r="466" spans="1:4">
      <s:c r="A466" t="s">
        <s:v>886</s:v>
      </s:c>
      <s:c r="B466" t="s">
        <s:v>953</s:v>
      </s:c>
      <s:c r="C466">
        <s:v>2.8</s:v>
      </s:c>
      <s:c r="D466" t="s">
        <s:v>954</s:v>
      </s:c>
    </s:row>
    <s:row x14ac:dyDescent="0.2" r="467" spans="1:4">
      <s:c r="A467" t="s">
        <s:v>886</s:v>
      </s:c>
      <s:c r="B467" t="s">
        <s:v>955</s:v>
      </s:c>
      <s:c r="C467">
        <s:v>3.5</s:v>
      </s:c>
      <s:c r="D467" t="s">
        <s:v>956</s:v>
      </s:c>
    </s:row>
    <s:row x14ac:dyDescent="0.2" r="468" spans="1:4">
      <s:c r="A468" t="s">
        <s:v>886</s:v>
      </s:c>
      <s:c r="B468" t="s">
        <s:v>957</s:v>
      </s:c>
      <s:c r="C468">
        <s:v>4.3</s:v>
      </s:c>
      <s:c r="D468" t="s">
        <s:v>958</s:v>
      </s:c>
    </s:row>
    <s:row x14ac:dyDescent="0.2" r="469" spans="1:4">
      <s:c r="A469" t="s">
        <s:v>886</s:v>
      </s:c>
      <s:c r="B469" t="s">
        <s:v>959</s:v>
      </s:c>
      <s:c r="C469">
        <s:v>4.3</s:v>
      </s:c>
      <s:c r="D469" t="s">
        <s:v>960</s:v>
      </s:c>
    </s:row>
    <s:row x14ac:dyDescent="0.2" r="470" spans="1:4">
      <s:c r="A470" t="s">
        <s:v>886</s:v>
      </s:c>
      <s:c r="B470" t="s">
        <s:v>961</s:v>
      </s:c>
      <s:c r="C470">
        <s:v>4.5</s:v>
      </s:c>
      <s:c r="D470" t="s">
        <s:v>962</s:v>
      </s:c>
    </s:row>
    <s:row x14ac:dyDescent="0.2" r="471" spans="1:4">
      <s:c r="A471" t="s">
        <s:v>886</s:v>
      </s:c>
      <s:c r="B471" t="s">
        <s:v>963</s:v>
      </s:c>
      <s:c r="C471">
        <s:v>3.8</s:v>
      </s:c>
      <s:c r="D471" t="s">
        <s:v>964</s:v>
      </s:c>
    </s:row>
    <s:row x14ac:dyDescent="0.2" r="472" spans="1:4">
      <s:c r="A472" t="s">
        <s:v>886</s:v>
      </s:c>
      <s:c r="B472" t="s">
        <s:v>965</s:v>
      </s:c>
      <s:c r="C472">
        <s:v>3.5</s:v>
      </s:c>
      <s:c r="D472" t="s">
        <s:v>966</s:v>
      </s:c>
    </s:row>
    <s:row x14ac:dyDescent="0.2" r="473" spans="1:4">
      <s:c r="A473" t="s">
        <s:v>886</s:v>
      </s:c>
      <s:c r="B473" t="s">
        <s:v>967</s:v>
      </s:c>
      <s:c r="C473">
        <s:v>1.3</s:v>
      </s:c>
      <s:c r="D473" t="s">
        <s:v>968</s:v>
      </s:c>
    </s:row>
    <s:row x14ac:dyDescent="0.2" r="474" spans="1:4">
      <s:c r="A474" t="s">
        <s:v>886</s:v>
      </s:c>
      <s:c r="B474" t="s">
        <s:v>969</s:v>
      </s:c>
      <s:c r="C474">
        <s:v>3</s:v>
      </s:c>
      <s:c r="D474" t="s">
        <s:v>970</s:v>
      </s:c>
    </s:row>
    <s:row x14ac:dyDescent="0.2" r="475" spans="1:4">
      <s:c r="A475" t="s">
        <s:v>886</s:v>
      </s:c>
      <s:c r="B475" t="s">
        <s:v>971</s:v>
      </s:c>
      <s:c r="C475">
        <s:v>8</s:v>
      </s:c>
      <s:c r="D475" t="s">
        <s:v>972</s:v>
      </s:c>
    </s:row>
    <s:row x14ac:dyDescent="0.2" r="476" spans="1:4">
      <s:c r="A476" t="s">
        <s:v>886</s:v>
      </s:c>
      <s:c r="B476" t="s">
        <s:v>973</s:v>
      </s:c>
      <s:c r="C476">
        <s:v>6.8</s:v>
      </s:c>
      <s:c r="D476" t="s">
        <s:v>974</s:v>
      </s:c>
    </s:row>
    <s:row x14ac:dyDescent="0.2" r="477" spans="1:4">
      <s:c r="A477" t="s">
        <s:v>886</s:v>
      </s:c>
      <s:c r="B477" t="s">
        <s:v>975</s:v>
      </s:c>
      <s:c r="C477">
        <s:v>8</s:v>
      </s:c>
      <s:c r="D477" t="s">
        <s:v>976</s:v>
      </s:c>
    </s:row>
    <s:row x14ac:dyDescent="0.2" r="478" spans="1:4">
      <s:c r="A478" t="s">
        <s:v>886</s:v>
      </s:c>
      <s:c r="B478" t="s">
        <s:v>977</s:v>
      </s:c>
      <s:c r="C478">
        <s:v>9</s:v>
      </s:c>
      <s:c r="D478" t="s">
        <s:v>978</s:v>
      </s:c>
    </s:row>
    <s:row x14ac:dyDescent="0.2" r="479" spans="1:4">
      <s:c r="A479" t="s">
        <s:v>886</s:v>
      </s:c>
      <s:c r="B479" t="s">
        <s:v>979</s:v>
      </s:c>
      <s:c r="C479">
        <s:v>3.5</s:v>
      </s:c>
      <s:c r="D479" t="s">
        <s:v>980</s:v>
      </s:c>
    </s:row>
    <s:row x14ac:dyDescent="0.2" r="480" spans="1:4">
      <s:c r="A480" t="s">
        <s:v>886</s:v>
      </s:c>
      <s:c r="B480" t="s">
        <s:v>981</s:v>
      </s:c>
      <s:c r="C480">
        <s:v>5</s:v>
      </s:c>
      <s:c r="D480" t="s">
        <s:v>982</s:v>
      </s:c>
    </s:row>
    <s:row x14ac:dyDescent="0.2" r="481" spans="1:4">
      <s:c r="A481" t="s">
        <s:v>886</s:v>
      </s:c>
      <s:c r="B481" t="s">
        <s:v>983</s:v>
      </s:c>
      <s:c r="C481">
        <s:v>17.5</s:v>
      </s:c>
      <s:c r="D481" t="s">
        <s:v>984</s:v>
      </s:c>
    </s:row>
    <s:row x14ac:dyDescent="0.2" r="482" spans="1:4">
      <s:c r="A482" t="s">
        <s:v>886</s:v>
      </s:c>
      <s:c r="B482" t="s">
        <s:v>985</s:v>
      </s:c>
      <s:c r="C482">
        <s:v>5</s:v>
      </s:c>
      <s:c r="D482" t="s">
        <s:v>986</s:v>
      </s:c>
    </s:row>
    <s:row x14ac:dyDescent="0.2" r="483" spans="1:4">
      <s:c r="A483" t="s">
        <s:v>886</s:v>
      </s:c>
      <s:c r="B483" t="s">
        <s:v>987</s:v>
      </s:c>
      <s:c r="C483">
        <s:v>8</s:v>
      </s:c>
      <s:c r="D483" t="s">
        <s:v>988</s:v>
      </s:c>
    </s:row>
    <s:row x14ac:dyDescent="0.2" r="484" spans="1:4">
      <s:c r="A484" t="s">
        <s:v>886</s:v>
      </s:c>
      <s:c r="B484" t="s">
        <s:v>989</s:v>
      </s:c>
      <s:c r="C484">
        <s:v>5</s:v>
      </s:c>
      <s:c r="D484" t="s">
        <s:v>990</s:v>
      </s:c>
    </s:row>
    <s:row x14ac:dyDescent="0.2" r="485" spans="1:4">
      <s:c r="A485" t="s">
        <s:v>886</s:v>
      </s:c>
      <s:c r="B485" t="s">
        <s:v>991</s:v>
      </s:c>
      <s:c r="C485">
        <s:v>8.5</s:v>
      </s:c>
      <s:c r="D485" t="s">
        <s:v>992</s:v>
      </s:c>
    </s:row>
    <s:row x14ac:dyDescent="0.2" r="486" spans="1:4">
      <s:c r="A486" t="s">
        <s:v>886</s:v>
      </s:c>
      <s:c r="B486" t="s">
        <s:v>993</s:v>
      </s:c>
      <s:c r="C486">
        <s:v>4.8</s:v>
      </s:c>
      <s:c r="D486" t="s">
        <s:v>994</s:v>
      </s:c>
    </s:row>
    <s:row x14ac:dyDescent="0.2" r="487" spans="1:4">
      <s:c r="A487" t="s">
        <s:v>886</s:v>
      </s:c>
      <s:c r="B487" t="s">
        <s:v>995</s:v>
      </s:c>
      <s:c r="C487">
        <s:v>3.8</s:v>
      </s:c>
      <s:c r="D487" t="s">
        <s:v>996</s:v>
      </s:c>
    </s:row>
    <s:row x14ac:dyDescent="0.2" r="488" spans="1:4">
      <s:c r="A488" t="s">
        <s:v>886</s:v>
      </s:c>
      <s:c r="B488" t="s">
        <s:v>997</s:v>
      </s:c>
      <s:c r="C488">
        <s:v>1.8</s:v>
      </s:c>
      <s:c r="D488" t="s">
        <s:v>998</s:v>
      </s:c>
    </s:row>
    <s:row x14ac:dyDescent="0.2" r="489" spans="1:4">
      <s:c r="A489" t="s">
        <s:v>886</s:v>
      </s:c>
      <s:c r="B489" t="s">
        <s:v>999</s:v>
      </s:c>
      <s:c r="C489">
        <s:v>7.3</s:v>
      </s:c>
      <s:c r="D489" t="s">
        <s:v>1000</s:v>
      </s:c>
    </s:row>
    <s:row x14ac:dyDescent="0.2" r="490" spans="1:4">
      <s:c r="A490" t="s">
        <s:v>886</s:v>
      </s:c>
      <s:c r="B490" t="s">
        <s:v>1001</s:v>
      </s:c>
      <s:c r="C490">
        <s:v>4.3</s:v>
      </s:c>
      <s:c r="D490" t="s">
        <s:v>1002</s:v>
      </s:c>
    </s:row>
    <s:row x14ac:dyDescent="0.2" r="491" spans="1:4">
      <s:c r="A491" t="s">
        <s:v>886</s:v>
      </s:c>
      <s:c r="B491" t="s">
        <s:v>1003</s:v>
      </s:c>
      <s:c r="C491">
        <s:v>4.5</s:v>
      </s:c>
      <s:c r="D491" t="s">
        <s:v>1004</s:v>
      </s:c>
    </s:row>
    <s:row x14ac:dyDescent="0.2" r="492" spans="1:4">
      <s:c r="A492" t="s">
        <s:v>886</s:v>
      </s:c>
      <s:c r="B492" t="s">
        <s:v>1005</s:v>
      </s:c>
      <s:c r="C492">
        <s:v>7.8</s:v>
      </s:c>
      <s:c r="D492" t="s">
        <s:v>1006</s:v>
      </s:c>
    </s:row>
    <s:row x14ac:dyDescent="0.2" r="493" spans="1:4">
      <s:c r="A493" t="s">
        <s:v>886</s:v>
      </s:c>
      <s:c r="B493" t="s">
        <s:v>1007</s:v>
      </s:c>
      <s:c r="C493">
        <s:v>6.3</s:v>
      </s:c>
      <s:c r="D493" t="s">
        <s:v>1008</s:v>
      </s:c>
    </s:row>
    <s:row x14ac:dyDescent="0.2" r="494" spans="1:4">
      <s:c r="A494" t="s">
        <s:v>886</s:v>
      </s:c>
      <s:c r="B494" t="s">
        <s:v>1009</s:v>
      </s:c>
      <s:c r="C494">
        <s:v>2.2999999999999998</s:v>
      </s:c>
      <s:c r="D494" t="s">
        <s:v>1010</s:v>
      </s:c>
    </s:row>
    <s:row x14ac:dyDescent="0.2" r="495" spans="1:4">
      <s:c r="A495" t="s">
        <s:v>886</s:v>
      </s:c>
      <s:c r="B495" t="s">
        <s:v>1011</s:v>
      </s:c>
      <s:c r="C495">
        <s:v>3</s:v>
      </s:c>
      <s:c r="D495" t="s">
        <s:v>1012</s:v>
      </s:c>
    </s:row>
    <s:row x14ac:dyDescent="0.2" r="496" spans="1:4">
      <s:c r="A496" t="s">
        <s:v>886</s:v>
      </s:c>
      <s:c r="B496" t="s">
        <s:v>1013</s:v>
      </s:c>
      <s:c r="C496">
        <s:v>4</s:v>
      </s:c>
      <s:c r="D496" t="s">
        <s:v>1014</s:v>
      </s:c>
    </s:row>
    <s:row x14ac:dyDescent="0.2" r="497" spans="1:4">
      <s:c r="A497" t="s">
        <s:v>886</s:v>
      </s:c>
      <s:c r="B497" t="s">
        <s:v>1015</s:v>
      </s:c>
      <s:c r="C497">
        <s:v>3</s:v>
      </s:c>
      <s:c r="D497" t="s">
        <s:v>1016</s:v>
      </s:c>
    </s:row>
    <s:row x14ac:dyDescent="0.2" r="498" spans="1:4">
      <s:c r="A498" t="s">
        <s:v>886</s:v>
      </s:c>
      <s:c r="B498" t="s">
        <s:v>1017</s:v>
      </s:c>
      <s:c r="C498">
        <s:v>3.3</s:v>
      </s:c>
      <s:c r="D498" t="s">
        <s:v>1018</s:v>
      </s:c>
    </s:row>
    <s:row x14ac:dyDescent="0.2" r="499" spans="1:4">
      <s:c r="A499" t="s">
        <s:v>886</s:v>
      </s:c>
      <s:c r="B499" t="s">
        <s:v>1019</s:v>
      </s:c>
      <s:c r="C499">
        <s:v>3</s:v>
      </s:c>
      <s:c r="D499" t="s">
        <s:v>1020</s:v>
      </s:c>
    </s:row>
    <s:row x14ac:dyDescent="0.2" r="500" spans="1:4">
      <s:c r="A500" t="s">
        <s:v>886</s:v>
      </s:c>
      <s:c r="B500" t="s">
        <s:v>1021</s:v>
      </s:c>
      <s:c r="C500">
        <s:v>3</s:v>
      </s:c>
      <s:c r="D500" t="s">
        <s:v>1022</s:v>
      </s:c>
    </s:row>
    <s:row x14ac:dyDescent="0.2" r="501" spans="1:4">
      <s:c r="A501" t="s">
        <s:v>886</s:v>
      </s:c>
      <s:c r="B501" t="s">
        <s:v>1023</s:v>
      </s:c>
      <s:c r="C501">
        <s:v>5</s:v>
      </s:c>
      <s:c r="D501" t="s">
        <s:v>1024</s:v>
      </s:c>
    </s:row>
    <s:row x14ac:dyDescent="0.2" r="502" spans="1:4">
      <s:c r="A502" t="s">
        <s:v>886</s:v>
      </s:c>
      <s:c r="B502" t="s">
        <s:v>1025</s:v>
      </s:c>
      <s:c r="C502">
        <s:v>1.8</s:v>
      </s:c>
      <s:c r="D502" t="s">
        <s:v>1026</s:v>
      </s:c>
    </s:row>
    <s:row x14ac:dyDescent="0.2" r="503" spans="1:4">
      <s:c r="A503" t="s">
        <s:v>886</s:v>
      </s:c>
      <s:c r="B503" t="s">
        <s:v>1027</s:v>
      </s:c>
      <s:c r="C503">
        <s:v>2.8</s:v>
      </s:c>
      <s:c r="D503" t="s">
        <s:v>1028</s:v>
      </s:c>
    </s:row>
    <s:row x14ac:dyDescent="0.2" r="504" spans="1:4">
      <s:c r="A504" t="s">
        <s:v>886</s:v>
      </s:c>
      <s:c r="B504" t="s">
        <s:v>1029</s:v>
      </s:c>
      <s:c r="C504">
        <s:v>4.5</s:v>
      </s:c>
      <s:c r="D504" t="s">
        <s:v>1030</s:v>
      </s:c>
    </s:row>
    <s:row x14ac:dyDescent="0.2" r="505" spans="1:4">
      <s:c r="A505" t="s">
        <s:v>886</s:v>
      </s:c>
      <s:c r="B505" t="s">
        <s:v>1031</s:v>
      </s:c>
      <s:c r="C505">
        <s:v>6.5</s:v>
      </s:c>
      <s:c r="D505" t="s">
        <s:v>1032</s:v>
      </s:c>
    </s:row>
    <s:row x14ac:dyDescent="0.2" r="506" spans="1:4">
      <s:c r="A506" t="s">
        <s:v>886</s:v>
      </s:c>
      <s:c r="B506" t="s">
        <s:v>1033</s:v>
      </s:c>
      <s:c r="C506">
        <s:v>4.3</s:v>
      </s:c>
      <s:c r="D506" t="s">
        <s:v>1034</s:v>
      </s:c>
    </s:row>
    <s:row x14ac:dyDescent="0.2" r="507" spans="1:4">
      <s:c r="A507" t="s">
        <s:v>886</s:v>
      </s:c>
      <s:c r="B507" t="s">
        <s:v>1035</s:v>
      </s:c>
      <s:c r="C507">
        <s:v>2.5</s:v>
      </s:c>
      <s:c r="D507" t="s">
        <s:v>1036</s:v>
      </s:c>
    </s:row>
    <s:row x14ac:dyDescent="0.2" r="508" spans="1:4">
      <s:c r="A508" t="s">
        <s:v>886</s:v>
      </s:c>
      <s:c r="B508" t="s">
        <s:v>1037</s:v>
      </s:c>
      <s:c r="C508">
        <s:v>5.5</s:v>
      </s:c>
      <s:c r="D508" t="s">
        <s:v>1038</s:v>
      </s:c>
    </s:row>
    <s:row x14ac:dyDescent="0.2" r="509" spans="1:4">
      <s:c r="A509" t="s">
        <s:v>886</s:v>
      </s:c>
      <s:c r="B509" t="s">
        <s:v>1039</s:v>
      </s:c>
      <s:c r="C509">
        <s:v>2.2999999999999998</s:v>
      </s:c>
      <s:c r="D509" t="s">
        <s:v>1040</s:v>
      </s:c>
    </s:row>
    <s:row x14ac:dyDescent="0.2" r="510" spans="1:4">
      <s:c r="A510" t="s">
        <s:v>886</s:v>
      </s:c>
      <s:c r="B510" t="s">
        <s:v>1041</s:v>
      </s:c>
      <s:c r="C510">
        <s:v>1.5</s:v>
      </s:c>
      <s:c r="D510" t="s">
        <s:v>1042</s:v>
      </s:c>
    </s:row>
    <s:row x14ac:dyDescent="0.2" r="511" spans="1:4">
      <s:c r="A511" t="s">
        <s:v>886</s:v>
      </s:c>
      <s:c r="B511" t="s">
        <s:v>1043</s:v>
      </s:c>
      <s:c r="C511">
        <s:v>3.5</s:v>
      </s:c>
      <s:c r="D511" t="s">
        <s:v>1044</s:v>
      </s:c>
    </s:row>
    <s:row x14ac:dyDescent="0.2" r="512" spans="1:4">
      <s:c r="A512" t="s">
        <s:v>886</s:v>
      </s:c>
      <s:c r="B512" t="s">
        <s:v>1045</s:v>
      </s:c>
      <s:c r="C512">
        <s:v>7.5</s:v>
      </s:c>
      <s:c r="D512" t="s">
        <s:v>1046</s:v>
      </s:c>
    </s:row>
    <s:row x14ac:dyDescent="0.2" r="513" spans="1:4">
      <s:c r="A513" t="s">
        <s:v>886</s:v>
      </s:c>
      <s:c r="B513" t="s">
        <s:v>1047</s:v>
      </s:c>
      <s:c r="C513">
        <s:v>8.5</s:v>
      </s:c>
      <s:c r="D513" t="s">
        <s:v>1048</s:v>
      </s:c>
    </s:row>
    <s:row x14ac:dyDescent="0.2" r="514" spans="1:4">
      <s:c r="A514" t="s">
        <s:v>886</s:v>
      </s:c>
      <s:c r="B514" t="s">
        <s:v>1049</s:v>
      </s:c>
      <s:c r="C514">
        <s:v>12</s:v>
      </s:c>
      <s:c r="D514" t="s">
        <s:v>1050</s:v>
      </s:c>
    </s:row>
    <s:row x14ac:dyDescent="0.2" r="515" spans="1:4">
      <s:c r="A515" t="s">
        <s:v>886</s:v>
      </s:c>
      <s:c r="B515" t="s">
        <s:v>1051</s:v>
      </s:c>
      <s:c r="C515">
        <s:v>2.5</s:v>
      </s:c>
      <s:c r="D515" t="s">
        <s:v>1052</s:v>
      </s:c>
    </s:row>
    <s:row x14ac:dyDescent="0.2" r="516" spans="1:4">
      <s:c r="A516" t="s">
        <s:v>886</s:v>
      </s:c>
      <s:c r="B516" t="s">
        <s:v>1053</s:v>
      </s:c>
      <s:c r="C516">
        <s:v>3.5</s:v>
      </s:c>
      <s:c r="D516" t="s">
        <s:v>1054</s:v>
      </s:c>
    </s:row>
    <s:row x14ac:dyDescent="0.2" r="517" spans="1:4">
      <s:c r="A517" t="s">
        <s:v>886</s:v>
      </s:c>
      <s:c r="B517" t="s">
        <s:v>1055</s:v>
      </s:c>
      <s:c r="C517">
        <s:v>3.3</s:v>
      </s:c>
      <s:c r="D517" t="s">
        <s:v>1056</s:v>
      </s:c>
    </s:row>
    <s:row x14ac:dyDescent="0.2" r="518" spans="1:4">
      <s:c r="A518" t="s">
        <s:v>886</s:v>
      </s:c>
      <s:c r="B518" t="s">
        <s:v>1057</s:v>
      </s:c>
      <s:c r="C518">
        <s:v>3</s:v>
      </s:c>
      <s:c r="D518" t="s">
        <s:v>1058</s:v>
      </s:c>
    </s:row>
    <s:row x14ac:dyDescent="0.2" r="519" spans="1:4">
      <s:c r="A519" t="s">
        <s:v>886</s:v>
      </s:c>
      <s:c r="B519" t="s">
        <s:v>1059</s:v>
      </s:c>
      <s:c r="C519">
        <s:v>2</s:v>
      </s:c>
      <s:c r="D519" t="s">
        <s:v>1060</s:v>
      </s:c>
    </s:row>
    <s:row x14ac:dyDescent="0.2" r="520" spans="1:4">
      <s:c r="A520" t="s">
        <s:v>886</s:v>
      </s:c>
      <s:c r="B520" t="s">
        <s:v>1061</s:v>
      </s:c>
      <s:c r="C520">
        <s:v>3.8</s:v>
      </s:c>
      <s:c r="D520" t="s">
        <s:v>1062</s:v>
      </s:c>
    </s:row>
    <s:row x14ac:dyDescent="0.2" r="521" spans="1:4">
      <s:c r="A521" t="s">
        <s:v>886</s:v>
      </s:c>
      <s:c r="B521" t="s">
        <s:v>1063</s:v>
      </s:c>
      <s:c r="C521">
        <s:v>2.5</s:v>
      </s:c>
      <s:c r="D521" t="s">
        <s:v>1064</s:v>
      </s:c>
    </s:row>
    <s:row x14ac:dyDescent="0.2" r="522" spans="1:4">
      <s:c r="A522" t="s">
        <s:v>886</s:v>
      </s:c>
      <s:c r="B522" t="s">
        <s:v>1065</s:v>
      </s:c>
      <s:c r="C522">
        <s:v>2</s:v>
      </s:c>
      <s:c r="D522" t="s">
        <s:v>1066</s:v>
      </s:c>
    </s:row>
    <s:row x14ac:dyDescent="0.2" r="523" spans="1:4">
      <s:c r="A523" t="s">
        <s:v>886</s:v>
      </s:c>
      <s:c r="B523" t="s">
        <s:v>1067</s:v>
      </s:c>
      <s:c r="C523">
        <s:v>1.3</s:v>
      </s:c>
      <s:c r="D523" t="s">
        <s:v>1068</s:v>
      </s:c>
    </s:row>
    <s:row x14ac:dyDescent="0.2" r="524" spans="1:4">
      <s:c r="A524" t="s">
        <s:v>886</s:v>
      </s:c>
      <s:c r="B524" t="s">
        <s:v>1069</s:v>
      </s:c>
      <s:c r="C524">
        <s:v>4</s:v>
      </s:c>
      <s:c r="D524" t="s">
        <s:v>1070</s:v>
      </s:c>
    </s:row>
    <s:row x14ac:dyDescent="0.2" r="525" spans="1:4">
      <s:c r="A525" t="s">
        <s:v>886</s:v>
      </s:c>
      <s:c r="B525" t="s">
        <s:v>1071</s:v>
      </s:c>
      <s:c r="C525">
        <s:v>9</s:v>
      </s:c>
      <s:c r="D525" t="s">
        <s:v>1072</s:v>
      </s:c>
    </s:row>
    <s:row x14ac:dyDescent="0.2" r="526" spans="1:4">
      <s:c r="A526" t="s">
        <s:v>886</s:v>
      </s:c>
      <s:c r="B526" t="s">
        <s:v>1073</s:v>
      </s:c>
      <s:c r="C526">
        <s:v>2</s:v>
      </s:c>
      <s:c r="D526" t="s">
        <s:v>1074</s:v>
      </s:c>
    </s:row>
    <s:row x14ac:dyDescent="0.2" r="527" spans="1:4">
      <s:c r="A527" t="s">
        <s:v>886</s:v>
      </s:c>
      <s:c r="B527" t="s">
        <s:v>1075</s:v>
      </s:c>
      <s:c r="C527">
        <s:v>7.3</s:v>
      </s:c>
      <s:c r="D527" t="s">
        <s:v>1076</s:v>
      </s:c>
    </s:row>
    <s:row x14ac:dyDescent="0.2" r="528" spans="1:4">
      <s:c r="A528" t="s">
        <s:v>886</s:v>
      </s:c>
      <s:c r="B528" t="s">
        <s:v>1077</s:v>
      </s:c>
      <s:c r="C528">
        <s:v>8.8000000000000007</s:v>
      </s:c>
      <s:c r="D528" t="s">
        <s:v>1078</s:v>
      </s:c>
    </s:row>
    <s:row x14ac:dyDescent="0.2" r="529" spans="1:4">
      <s:c r="A529" t="s">
        <s:v>886</s:v>
      </s:c>
      <s:c r="B529" t="s">
        <s:v>1079</s:v>
      </s:c>
      <s:c r="C529">
        <s:v>5</s:v>
      </s:c>
      <s:c r="D529" t="s">
        <s:v>1080</s:v>
      </s:c>
    </s:row>
    <s:row x14ac:dyDescent="0.2" r="530" spans="1:4">
      <s:c r="A530" t="s">
        <s:v>886</s:v>
      </s:c>
      <s:c r="B530" t="s">
        <s:v>1081</s:v>
      </s:c>
      <s:c r="C530">
        <s:v>6.5</s:v>
      </s:c>
      <s:c r="D530" t="s">
        <s:v>1082</s:v>
      </s:c>
    </s:row>
    <s:row x14ac:dyDescent="0.2" r="531" spans="1:4">
      <s:c r="A531" t="s">
        <s:v>886</s:v>
      </s:c>
      <s:c r="B531" t="s">
        <s:v>1083</s:v>
      </s:c>
      <s:c r="C531">
        <s:v>1.5</s:v>
      </s:c>
      <s:c r="D531" t="s">
        <s:v>1084</s:v>
      </s:c>
    </s:row>
    <s:row x14ac:dyDescent="0.2" r="532" spans="1:4">
      <s:c r="A532" t="s">
        <s:v>886</s:v>
      </s:c>
      <s:c r="B532" t="s">
        <s:v>1085</s:v>
      </s:c>
      <s:c r="C532">
        <s:v>1.3</s:v>
      </s:c>
      <s:c r="D532" t="s">
        <s:v>1086</s:v>
      </s:c>
    </s:row>
    <s:row x14ac:dyDescent="0.2" r="533" spans="1:4">
      <s:c r="A533" t="s">
        <s:v>886</s:v>
      </s:c>
      <s:c r="B533" t="s">
        <s:v>1087</s:v>
      </s:c>
      <s:c r="C533">
        <s:v>1.3</s:v>
      </s:c>
      <s:c r="D533" t="s">
        <s:v>1088</s:v>
      </s:c>
    </s:row>
    <s:row x14ac:dyDescent="0.2" r="534" spans="1:4">
      <s:c r="A534" t="s">
        <s:v>886</s:v>
      </s:c>
      <s:c r="B534" t="s">
        <s:v>1089</s:v>
      </s:c>
      <s:c r="C534">
        <s:v>1.3</s:v>
      </s:c>
      <s:c r="D534" t="s">
        <s:v>1090</s:v>
      </s:c>
    </s:row>
    <s:row x14ac:dyDescent="0.2" r="535" spans="1:4">
      <s:c r="A535" t="s">
        <s:v>886</s:v>
      </s:c>
      <s:c r="B535" t="s">
        <s:v>1091</s:v>
      </s:c>
      <s:c r="C535">
        <s:v>2.5</s:v>
      </s:c>
      <s:c r="D535" t="s">
        <s:v>1092</s:v>
      </s:c>
    </s:row>
    <s:row x14ac:dyDescent="0.2" r="536" spans="1:4">
      <s:c r="A536" t="s">
        <s:v>886</s:v>
      </s:c>
      <s:c r="B536" t="s">
        <s:v>1093</s:v>
      </s:c>
      <s:c r="C536">
        <s:v>2.8</s:v>
      </s:c>
      <s:c r="D536" t="s">
        <s:v>1094</s:v>
      </s:c>
    </s:row>
    <s:row x14ac:dyDescent="0.2" r="537" spans="1:4">
      <s:c r="A537" t="s">
        <s:v>886</s:v>
      </s:c>
      <s:c r="B537" t="s">
        <s:v>1095</s:v>
      </s:c>
      <s:c r="C537">
        <s:v>1.8</s:v>
      </s:c>
      <s:c r="D537" t="s">
        <s:v>1096</s:v>
      </s:c>
    </s:row>
    <s:row x14ac:dyDescent="0.2" r="538" spans="1:4">
      <s:c r="A538" t="s">
        <s:v>886</s:v>
      </s:c>
      <s:c r="B538" t="s">
        <s:v>1097</s:v>
      </s:c>
      <s:c r="C538">
        <s:v>3.3</s:v>
      </s:c>
      <s:c r="D538" t="s">
        <s:v>1098</s:v>
      </s:c>
    </s:row>
    <s:row x14ac:dyDescent="0.2" r="539" spans="1:4">
      <s:c r="A539" t="s">
        <s:v>886</s:v>
      </s:c>
      <s:c r="B539" t="s">
        <s:v>1099</s:v>
      </s:c>
      <s:c r="C539">
        <s:v>4.5</s:v>
      </s:c>
      <s:c r="D539" t="s">
        <s:v>1100</s:v>
      </s:c>
    </s:row>
    <s:row x14ac:dyDescent="0.2" r="540" spans="1:4">
      <s:c r="A540" t="s">
        <s:v>886</s:v>
      </s:c>
      <s:c r="B540" t="s">
        <s:v>1101</s:v>
      </s:c>
      <s:c r="C540">
        <s:v>3.8</s:v>
      </s:c>
      <s:c r="D540" t="s">
        <s:v>1102</s:v>
      </s:c>
    </s:row>
    <s:row x14ac:dyDescent="0.2" r="541" spans="1:4">
      <s:c r="A541" t="s">
        <s:v>886</s:v>
      </s:c>
      <s:c r="B541" t="s">
        <s:v>1103</s:v>
      </s:c>
      <s:c r="C541">
        <s:v>4.5</s:v>
      </s:c>
      <s:c r="D541" t="s">
        <s:v>1104</s:v>
      </s:c>
    </s:row>
    <s:row x14ac:dyDescent="0.2" r="542" spans="1:4">
      <s:c r="A542" t="s">
        <s:v>886</s:v>
      </s:c>
      <s:c r="B542" t="s">
        <s:v>1105</s:v>
      </s:c>
      <s:c r="C542">
        <s:v>2.2999999999999998</s:v>
      </s:c>
      <s:c r="D542" t="s">
        <s:v>1106</s:v>
      </s:c>
    </s:row>
    <s:row x14ac:dyDescent="0.2" r="543" spans="1:4">
      <s:c r="A543" t="s">
        <s:v>886</s:v>
      </s:c>
      <s:c r="B543" t="s">
        <s:v>1107</s:v>
      </s:c>
      <s:c r="C543">
        <s:v>3.5</s:v>
      </s:c>
      <s:c r="D543" t="s">
        <s:v>1108</s:v>
      </s:c>
    </s:row>
    <s:row x14ac:dyDescent="0.2" r="544" spans="1:4">
      <s:c r="A544" t="s">
        <s:v>886</s:v>
      </s:c>
      <s:c r="B544" t="s">
        <s:v>1109</s:v>
      </s:c>
      <s:c r="C544">
        <s:v>5.3</s:v>
      </s:c>
      <s:c r="D544" t="s">
        <s:v>1110</s:v>
      </s:c>
    </s:row>
    <s:row x14ac:dyDescent="0.2" r="545" spans="1:4">
      <s:c r="A545" t="s">
        <s:v>886</s:v>
      </s:c>
      <s:c r="B545" t="s">
        <s:v>1111</s:v>
      </s:c>
      <s:c r="C545">
        <s:v>8.3000000000000007</s:v>
      </s:c>
      <s:c r="D545" t="s">
        <s:v>1112</s:v>
      </s:c>
    </s:row>
    <s:row x14ac:dyDescent="0.2" r="546" spans="1:4">
      <s:c r="A546" t="s">
        <s:v>886</s:v>
      </s:c>
      <s:c r="B546" t="s">
        <s:v>1113</s:v>
      </s:c>
      <s:c r="C546">
        <s:v>2.2999999999999998</s:v>
      </s:c>
      <s:c r="D546" t="s">
        <s:v>1114</s:v>
      </s:c>
    </s:row>
    <s:row x14ac:dyDescent="0.2" r="547" spans="1:4">
      <s:c r="A547" t="s">
        <s:v>886</s:v>
      </s:c>
      <s:c r="B547" t="s">
        <s:v>1115</s:v>
      </s:c>
      <s:c r="C547">
        <s:v>2.5</s:v>
      </s:c>
      <s:c r="D547" t="s">
        <s:v>1116</s:v>
      </s:c>
    </s:row>
    <s:row x14ac:dyDescent="0.2" r="548" spans="1:4">
      <s:c r="A548" t="s">
        <s:v>886</s:v>
      </s:c>
      <s:c r="B548" t="s">
        <s:v>1117</s:v>
      </s:c>
      <s:c r="C548">
        <s:v>1.8</s:v>
      </s:c>
      <s:c r="D548" t="s">
        <s:v>1118</s:v>
      </s:c>
    </s:row>
    <s:row x14ac:dyDescent="0.2" r="549" spans="1:4">
      <s:c r="A549" t="s">
        <s:v>886</s:v>
      </s:c>
      <s:c r="B549" t="s">
        <s:v>1119</s:v>
      </s:c>
      <s:c r="C549">
        <s:v>2.5</s:v>
      </s:c>
      <s:c r="D549" t="s">
        <s:v>1120</s:v>
      </s:c>
    </s:row>
    <s:row x14ac:dyDescent="0.2" r="550" spans="1:4">
      <s:c r="A550" t="s">
        <s:v>886</s:v>
      </s:c>
      <s:c r="B550" t="s">
        <s:v>1121</s:v>
      </s:c>
      <s:c r="C550">
        <s:v>3.5</s:v>
      </s:c>
      <s:c r="D550" t="s">
        <s:v>1122</s:v>
      </s:c>
    </s:row>
    <s:row x14ac:dyDescent="0.2" r="551" spans="1:4">
      <s:c r="A551" t="s">
        <s:v>886</s:v>
      </s:c>
      <s:c r="B551" t="s">
        <s:v>1123</s:v>
      </s:c>
      <s:c r="C551">
        <s:v>2</s:v>
      </s:c>
      <s:c r="D551" t="s">
        <s:v>1124</s:v>
      </s:c>
    </s:row>
    <s:row x14ac:dyDescent="0.2" r="552" spans="1:4">
      <s:c r="A552" t="s">
        <s:v>886</s:v>
      </s:c>
      <s:c r="B552" t="s">
        <s:v>1125</s:v>
      </s:c>
      <s:c r="C552">
        <s:v>4</s:v>
      </s:c>
      <s:c r="D552" t="s">
        <s:v>1126</s:v>
      </s:c>
    </s:row>
    <s:row x14ac:dyDescent="0.2" r="553" spans="1:4">
      <s:c r="A553" t="s">
        <s:v>886</s:v>
      </s:c>
      <s:c r="B553" t="s">
        <s:v>1127</s:v>
      </s:c>
      <s:c r="C553">
        <s:v>6.5</s:v>
      </s:c>
      <s:c r="D553" t="s">
        <s:v>1128</s:v>
      </s:c>
    </s:row>
    <s:row x14ac:dyDescent="0.2" r="554" spans="1:4">
      <s:c r="A554" t="s">
        <s:v>886</s:v>
      </s:c>
      <s:c r="B554" t="s">
        <s:v>1129</s:v>
      </s:c>
      <s:c r="C554">
        <s:v>2</s:v>
      </s:c>
      <s:c r="D554" t="s">
        <s:v>1130</s:v>
      </s:c>
    </s:row>
    <s:row x14ac:dyDescent="0.2" r="555" spans="1:4">
      <s:c r="A555" t="s">
        <s:v>886</s:v>
      </s:c>
      <s:c r="B555" t="s">
        <s:v>1131</s:v>
      </s:c>
      <s:c r="C555">
        <s:v>1.3</s:v>
      </s:c>
      <s:c r="D555" t="s">
        <s:v>1132</s:v>
      </s:c>
    </s:row>
    <s:row x14ac:dyDescent="0.2" r="556" spans="1:4">
      <s:c r="A556" t="s">
        <s:v>886</s:v>
      </s:c>
      <s:c r="B556" t="s">
        <s:v>1133</s:v>
      </s:c>
      <s:c r="C556">
        <s:v>6.3</s:v>
      </s:c>
      <s:c r="D556" t="s">
        <s:v>1134</s:v>
      </s:c>
    </s:row>
    <s:row x14ac:dyDescent="0.2" r="557" spans="1:4">
      <s:c r="A557" t="s">
        <s:v>886</s:v>
      </s:c>
      <s:c r="B557" t="s">
        <s:v>1135</s:v>
      </s:c>
      <s:c r="C557">
        <s:v>7.8</s:v>
      </s:c>
      <s:c r="D557" t="s">
        <s:v>1136</s:v>
      </s:c>
    </s:row>
    <s:row x14ac:dyDescent="0.2" r="558" spans="1:4">
      <s:c r="A558" t="s">
        <s:v>886</s:v>
      </s:c>
      <s:c r="B558" t="s">
        <s:v>1137</s:v>
      </s:c>
      <s:c r="C558">
        <s:v>2</s:v>
      </s:c>
      <s:c r="D558" t="s">
        <s:v>1138</s:v>
      </s:c>
    </s:row>
    <s:row x14ac:dyDescent="0.2" r="559" spans="1:4">
      <s:c r="A559" t="s">
        <s:v>886</s:v>
      </s:c>
      <s:c r="B559" t="s">
        <s:v>1139</s:v>
      </s:c>
      <s:c r="C559">
        <s:v>3.8</s:v>
      </s:c>
      <s:c r="D559" t="s">
        <s:v>1140</s:v>
      </s:c>
    </s:row>
    <s:row x14ac:dyDescent="0.2" r="560" spans="1:4">
      <s:c r="A560" t="s">
        <s:v>886</s:v>
      </s:c>
      <s:c r="B560" t="s">
        <s:v>1141</s:v>
      </s:c>
      <s:c r="C560">
        <s:v>4.8</s:v>
      </s:c>
      <s:c r="D560" t="s">
        <s:v>1142</s:v>
      </s:c>
    </s:row>
    <s:row x14ac:dyDescent="0.2" r="561" spans="1:4">
      <s:c r="A561" t="s">
        <s:v>886</s:v>
      </s:c>
      <s:c r="B561" t="s">
        <s:v>1143</s:v>
      </s:c>
      <s:c r="C561">
        <s:v>3.5</s:v>
      </s:c>
      <s:c r="D561" t="s">
        <s:v>1144</s:v>
      </s:c>
    </s:row>
    <s:row x14ac:dyDescent="0.2" r="562" spans="1:4">
      <s:c r="A562" t="s">
        <s:v>886</s:v>
      </s:c>
      <s:c r="B562" t="s">
        <s:v>1145</s:v>
      </s:c>
      <s:c r="C562">
        <s:v>3</s:v>
      </s:c>
      <s:c r="D562" t="s">
        <s:v>1146</s:v>
      </s:c>
    </s:row>
    <s:row x14ac:dyDescent="0.2" r="563" spans="1:4">
      <s:c r="A563" t="s">
        <s:v>886</s:v>
      </s:c>
      <s:c r="B563" t="s">
        <s:v>1147</s:v>
      </s:c>
      <s:c r="C563">
        <s:v>3.8</s:v>
      </s:c>
      <s:c r="D563" t="s">
        <s:v>1148</s:v>
      </s:c>
    </s:row>
    <s:row x14ac:dyDescent="0.2" r="564" spans="1:4">
      <s:c r="A564" t="s">
        <s:v>886</s:v>
      </s:c>
      <s:c r="B564" t="s">
        <s:v>1149</s:v>
      </s:c>
      <s:c r="C564">
        <s:v>4.5</s:v>
      </s:c>
      <s:c r="D564" t="s">
        <s:v>1150</s:v>
      </s:c>
    </s:row>
    <s:row x14ac:dyDescent="0.2" r="565" spans="1:4">
      <s:c r="A565" t="s">
        <s:v>886</s:v>
      </s:c>
      <s:c r="B565" t="s">
        <s:v>1151</s:v>
      </s:c>
      <s:c r="C565">
        <s:v>3.8</s:v>
      </s:c>
      <s:c r="D565" t="s">
        <s:v>1152</s:v>
      </s:c>
    </s:row>
    <s:row x14ac:dyDescent="0.2" r="566" spans="1:4">
      <s:c r="A566" t="s">
        <s:v>886</s:v>
      </s:c>
      <s:c r="B566" t="s">
        <s:v>1153</s:v>
      </s:c>
      <s:c r="C566">
        <s:v>4.5</s:v>
      </s:c>
      <s:c r="D566" t="s">
        <s:v>1154</s:v>
      </s:c>
    </s:row>
    <s:row x14ac:dyDescent="0.2" r="567" spans="1:4">
      <s:c r="A567" t="s">
        <s:v>886</s:v>
      </s:c>
      <s:c r="B567" t="s">
        <s:v>1155</s:v>
      </s:c>
      <s:c r="C567">
        <s:v>4</s:v>
      </s:c>
      <s:c r="D567" t="s">
        <s:v>1156</s:v>
      </s:c>
    </s:row>
    <s:row x14ac:dyDescent="0.2" r="568" spans="1:4">
      <s:c r="A568" t="s">
        <s:v>886</s:v>
      </s:c>
      <s:c r="B568" t="s">
        <s:v>1157</s:v>
      </s:c>
      <s:c r="C568">
        <s:v>5.5</s:v>
      </s:c>
      <s:c r="D568" t="s">
        <s:v>1158</s:v>
      </s:c>
    </s:row>
    <s:row x14ac:dyDescent="0.2" r="569" spans="1:4">
      <s:c r="A569" t="s">
        <s:v>886</s:v>
      </s:c>
      <s:c r="B569" t="s">
        <s:v>1159</s:v>
      </s:c>
      <s:c r="C569">
        <s:v>7</s:v>
      </s:c>
      <s:c r="D569" t="s">
        <s:v>1160</s:v>
      </s:c>
    </s:row>
    <s:row x14ac:dyDescent="0.2" r="570" spans="1:4">
      <s:c r="A570" t="s">
        <s:v>886</s:v>
      </s:c>
      <s:c r="B570" t="s">
        <s:v>1161</s:v>
      </s:c>
      <s:c r="C570">
        <s:v>7.3</s:v>
      </s:c>
      <s:c r="D570" t="s">
        <s:v>1162</s:v>
      </s:c>
    </s:row>
    <s:row x14ac:dyDescent="0.2" r="571" spans="1:4">
      <s:c r="A571" t="s">
        <s:v>886</s:v>
      </s:c>
      <s:c r="B571" t="s">
        <s:v>1163</s:v>
      </s:c>
      <s:c r="C571">
        <s:v>2.2999999999999998</s:v>
      </s:c>
      <s:c r="D571" t="s">
        <s:v>1164</s:v>
      </s:c>
    </s:row>
    <s:row x14ac:dyDescent="0.2" r="572" spans="1:4">
      <s:c r="A572" t="s">
        <s:v>886</s:v>
      </s:c>
      <s:c r="B572" t="s">
        <s:v>1165</s:v>
      </s:c>
      <s:c r="C572">
        <s:v>4.3</s:v>
      </s:c>
      <s:c r="D572" t="s">
        <s:v>1166</s:v>
      </s:c>
    </s:row>
    <s:row x14ac:dyDescent="0.2" r="573" spans="1:4">
      <s:c r="A573" t="s">
        <s:v>886</s:v>
      </s:c>
      <s:c r="B573" t="s">
        <s:v>1167</s:v>
      </s:c>
      <s:c r="C573">
        <s:v>3</s:v>
      </s:c>
      <s:c r="D573" t="s">
        <s:v>1168</s:v>
      </s:c>
    </s:row>
    <s:row x14ac:dyDescent="0.2" r="574" spans="1:4">
      <s:c r="A574" t="s">
        <s:v>886</s:v>
      </s:c>
      <s:c r="B574" t="s">
        <s:v>1169</s:v>
      </s:c>
      <s:c r="C574">
        <s:v>3.5</s:v>
      </s:c>
      <s:c r="D574" t="s">
        <s:v>1170</s:v>
      </s:c>
    </s:row>
    <s:row x14ac:dyDescent="0.2" r="575" spans="1:4">
      <s:c r="A575" t="s">
        <s:v>886</s:v>
      </s:c>
      <s:c r="B575" t="s">
        <s:v>1171</s:v>
      </s:c>
      <s:c r="C575">
        <s:v>4</s:v>
      </s:c>
      <s:c r="D575" t="s">
        <s:v>1172</s:v>
      </s:c>
    </s:row>
    <s:row x14ac:dyDescent="0.2" r="576" spans="1:4">
      <s:c r="A576" t="s">
        <s:v>886</s:v>
      </s:c>
      <s:c r="B576" t="s">
        <s:v>1173</s:v>
      </s:c>
      <s:c r="C576">
        <s:v>5</s:v>
      </s:c>
      <s:c r="D576" t="s">
        <s:v>1174</s:v>
      </s:c>
    </s:row>
    <s:row x14ac:dyDescent="0.2" r="577" spans="1:4">
      <s:c r="A577" t="s">
        <s:v>886</s:v>
      </s:c>
      <s:c r="B577" t="s">
        <s:v>1175</s:v>
      </s:c>
      <s:c r="C577">
        <s:v>6.3</s:v>
      </s:c>
      <s:c r="D577" t="s">
        <s:v>1176</s:v>
      </s:c>
    </s:row>
    <s:row x14ac:dyDescent="0.2" r="578" spans="1:4">
      <s:c r="A578" t="s">
        <s:v>886</s:v>
      </s:c>
      <s:c r="B578" t="s">
        <s:v>1177</s:v>
      </s:c>
      <s:c r="C578">
        <s:v>6</s:v>
      </s:c>
      <s:c r="D578" t="s">
        <s:v>1178</s:v>
      </s:c>
    </s:row>
    <s:row x14ac:dyDescent="0.2" r="579" spans="1:4">
      <s:c r="A579" t="s">
        <s:v>886</s:v>
      </s:c>
      <s:c r="B579" t="s">
        <s:v>1179</s:v>
      </s:c>
      <s:c r="C579">
        <s:v>8.5</s:v>
      </s:c>
      <s:c r="D579" t="s">
        <s:v>1180</s:v>
      </s:c>
    </s:row>
    <s:row x14ac:dyDescent="0.2" r="580" spans="1:4">
      <s:c r="A580" t="s">
        <s:v>886</s:v>
      </s:c>
      <s:c r="B580" t="s">
        <s:v>1181</s:v>
      </s:c>
      <s:c r="C580">
        <s:v>11</s:v>
      </s:c>
      <s:c r="D580" t="s">
        <s:v>1182</s:v>
      </s:c>
    </s:row>
    <s:row x14ac:dyDescent="0.2" r="581" spans="1:4">
      <s:c r="A581" t="s">
        <s:v>886</s:v>
      </s:c>
      <s:c r="B581" t="s">
        <s:v>1183</s:v>
      </s:c>
      <s:c r="C581">
        <s:v>6</s:v>
      </s:c>
      <s:c r="D581" t="s">
        <s:v>1184</s:v>
      </s:c>
    </s:row>
    <s:row x14ac:dyDescent="0.2" r="582" spans="1:4">
      <s:c r="A582" t="s">
        <s:v>1185</s:v>
      </s:c>
      <s:c r="B582" t="s">
        <s:v>1186</s:v>
      </s:c>
      <s:c r="C582">
        <s:v>6</s:v>
      </s:c>
      <s:c r="D582" t="s">
        <s:v>1187</s:v>
      </s:c>
    </s:row>
    <s:row x14ac:dyDescent="0.2" r="583" spans="1:4">
      <s:c r="A583" t="s">
        <s:v>1185</s:v>
      </s:c>
      <s:c r="B583" t="s">
        <s:v>1188</s:v>
      </s:c>
      <s:c r="C583">
        <s:v>7.5</s:v>
      </s:c>
      <s:c r="D583" t="s">
        <s:v>1189</s:v>
      </s:c>
    </s:row>
    <s:row x14ac:dyDescent="0.2" r="584" spans="1:4">
      <s:c r="A584" t="s">
        <s:v>1185</s:v>
      </s:c>
      <s:c r="B584" t="s">
        <s:v>1190</s:v>
      </s:c>
      <s:c r="C584">
        <s:v>4.8</s:v>
      </s:c>
      <s:c r="D584" t="s">
        <s:v>1191</s:v>
      </s:c>
    </s:row>
    <s:row x14ac:dyDescent="0.2" r="585" spans="1:4">
      <s:c r="A585" t="s">
        <s:v>1185</s:v>
      </s:c>
      <s:c r="B585" t="s">
        <s:v>1192</s:v>
      </s:c>
      <s:c r="C585">
        <s:v>3.3</s:v>
      </s:c>
      <s:c r="D585" t="s">
        <s:v>1193</s:v>
      </s:c>
    </s:row>
    <s:row x14ac:dyDescent="0.2" r="586" spans="1:4">
      <s:c r="A586" t="s">
        <s:v>1185</s:v>
      </s:c>
      <s:c r="B586" t="s">
        <s:v>1194</s:v>
      </s:c>
      <s:c r="C586">
        <s:v>4.5</s:v>
      </s:c>
      <s:c r="D586" t="s">
        <s:v>1195</s:v>
      </s:c>
    </s:row>
    <s:row x14ac:dyDescent="0.2" r="587" spans="1:4">
      <s:c r="A587" t="s">
        <s:v>1185</s:v>
      </s:c>
      <s:c r="B587" t="s">
        <s:v>1196</s:v>
      </s:c>
      <s:c r="C587">
        <s:v>6.5</s:v>
      </s:c>
      <s:c r="D587" t="s">
        <s:v>1197</s:v>
      </s:c>
    </s:row>
    <s:row x14ac:dyDescent="0.2" r="588" spans="1:4">
      <s:c r="A588" t="s">
        <s:v>1185</s:v>
      </s:c>
      <s:c r="B588" t="s">
        <s:v>1198</s:v>
      </s:c>
      <s:c r="C588">
        <s:v>7.8</s:v>
      </s:c>
      <s:c r="D588" t="s">
        <s:v>1199</s:v>
      </s:c>
    </s:row>
    <s:row x14ac:dyDescent="0.2" r="589" spans="1:4">
      <s:c r="A589" t="s">
        <s:v>1185</s:v>
      </s:c>
      <s:c r="B589" t="s">
        <s:v>1200</s:v>
      </s:c>
      <s:c r="C589">
        <s:v>8.5</s:v>
      </s:c>
      <s:c r="D589" t="s">
        <s:v>1201</s:v>
      </s:c>
    </s:row>
    <s:row x14ac:dyDescent="0.2" r="590" spans="1:4">
      <s:c r="A590" t="s">
        <s:v>1185</s:v>
      </s:c>
      <s:c r="B590" t="s">
        <s:v>1202</s:v>
      </s:c>
      <s:c r="C590">
        <s:v>9</s:v>
      </s:c>
      <s:c r="D590" t="s">
        <s:v>1203</s:v>
      </s:c>
    </s:row>
    <s:row x14ac:dyDescent="0.2" r="591" spans="1:4">
      <s:c r="A591" t="s">
        <s:v>1185</s:v>
      </s:c>
      <s:c r="B591" t="s">
        <s:v>1204</s:v>
      </s:c>
      <s:c r="C591">
        <s:v>9.3000000000000007</s:v>
      </s:c>
      <s:c r="D591" t="s">
        <s:v>1205</s:v>
      </s:c>
    </s:row>
    <s:row x14ac:dyDescent="0.2" r="592" spans="1:4">
      <s:c r="A592" t="s">
        <s:v>1185</s:v>
      </s:c>
      <s:c r="B592" t="s">
        <s:v>1206</s:v>
      </s:c>
      <s:c r="C592">
        <s:v>10.5</s:v>
      </s:c>
      <s:c r="D592" t="s">
        <s:v>1207</s:v>
      </s:c>
    </s:row>
    <s:row x14ac:dyDescent="0.2" r="593" spans="1:4">
      <s:c r="A593" t="s">
        <s:v>1185</s:v>
      </s:c>
      <s:c r="B593" t="s">
        <s:v>1208</s:v>
      </s:c>
      <s:c r="C593">
        <s:v>11</s:v>
      </s:c>
      <s:c r="D593" t="s">
        <s:v>1209</s:v>
      </s:c>
    </s:row>
    <s:row x14ac:dyDescent="0.2" r="594" spans="1:4">
      <s:c r="A594" t="s">
        <s:v>1185</s:v>
      </s:c>
      <s:c r="B594" t="s">
        <s:v>1210</s:v>
      </s:c>
      <s:c r="C594">
        <s:v>11.8</s:v>
      </s:c>
      <s:c r="D594" t="s">
        <s:v>1211</s:v>
      </s:c>
    </s:row>
    <s:row x14ac:dyDescent="0.2" r="595" spans="1:4">
      <s:c r="A595" t="s">
        <s:v>1185</s:v>
      </s:c>
      <s:c r="B595" t="s">
        <s:v>1212</s:v>
      </s:c>
      <s:c r="C595">
        <s:v>12</s:v>
      </s:c>
      <s:c r="D595" t="s">
        <s:v>1213</s:v>
      </s:c>
    </s:row>
    <s:row x14ac:dyDescent="0.2" r="596" spans="1:4">
      <s:c r="A596" t="s">
        <s:v>1185</s:v>
      </s:c>
      <s:c r="B596" t="s">
        <s:v>1214</s:v>
      </s:c>
      <s:c r="C596">
        <s:v>12.5</s:v>
      </s:c>
      <s:c r="D596" t="s">
        <s:v>1215</s:v>
      </s:c>
    </s:row>
    <s:row x14ac:dyDescent="0.2" r="597" spans="1:4">
      <s:c r="A597" t="s">
        <s:v>1185</s:v>
      </s:c>
      <s:c r="B597" t="s">
        <s:v>1216</s:v>
      </s:c>
      <s:c r="C597">
        <s:v>13</s:v>
      </s:c>
      <s:c r="D597" t="s">
        <s:v>1217</s:v>
      </s:c>
    </s:row>
    <s:row x14ac:dyDescent="0.2" r="598" spans="1:4">
      <s:c r="A598" t="s">
        <s:v>1185</s:v>
      </s:c>
      <s:c r="B598" t="s">
        <s:v>1218</s:v>
      </s:c>
      <s:c r="C598">
        <s:v>14.8</s:v>
      </s:c>
      <s:c r="D598" t="s">
        <s:v>1219</s:v>
      </s:c>
    </s:row>
    <s:row x14ac:dyDescent="0.2" r="599" spans="1:4">
      <s:c r="A599" t="s">
        <s:v>1185</s:v>
      </s:c>
      <s:c r="B599" t="s">
        <s:v>1220</s:v>
      </s:c>
      <s:c r="C599">
        <s:v>14.8</s:v>
      </s:c>
      <s:c r="D599" t="s">
        <s:v>1221</s:v>
      </s:c>
    </s:row>
    <s:row x14ac:dyDescent="0.2" r="600" spans="1:4">
      <s:c r="A600" t="s">
        <s:v>1185</s:v>
      </s:c>
      <s:c r="B600" t="s">
        <s:v>1222</s:v>
      </s:c>
      <s:c r="C600">
        <s:v>16.8</s:v>
      </s:c>
      <s:c r="D600" t="s">
        <s:v>1223</s:v>
      </s:c>
    </s:row>
    <s:row x14ac:dyDescent="0.2" r="601" spans="1:4">
      <s:c r="A601" t="s">
        <s:v>1185</s:v>
      </s:c>
      <s:c r="B601" t="s">
        <s:v>1224</s:v>
      </s:c>
      <s:c r="C601">
        <s:v>18.5</s:v>
      </s:c>
      <s:c r="D601" t="s">
        <s:v>1225</s:v>
      </s:c>
    </s:row>
    <s:row x14ac:dyDescent="0.2" r="602" spans="1:4">
      <s:c r="A602" t="s">
        <s:v>1185</s:v>
      </s:c>
      <s:c r="B602" t="s">
        <s:v>1226</s:v>
      </s:c>
      <s:c r="C602">
        <s:v>19.8</s:v>
      </s:c>
      <s:c r="D602" t="s">
        <s:v>1227</s:v>
      </s:c>
    </s:row>
    <s:row x14ac:dyDescent="0.2" r="603" spans="1:4">
      <s:c r="A603" t="s">
        <s:v>1185</s:v>
      </s:c>
      <s:c r="B603" t="s">
        <s:v>1228</s:v>
      </s:c>
      <s:c r="C603">
        <s:v>23</s:v>
      </s:c>
      <s:c r="D603" t="s">
        <s:v>1229</s:v>
      </s:c>
    </s:row>
    <s:row x14ac:dyDescent="0.2" r="604" spans="1:4">
      <s:c r="A604" t="s">
        <s:v>1185</s:v>
      </s:c>
      <s:c r="B604" t="s">
        <s:v>1230</s:v>
      </s:c>
      <s:c r="C604">
        <s:v>9.3000000000000007</s:v>
      </s:c>
      <s:c r="D604" t="s">
        <s:v>1231</s:v>
      </s:c>
    </s:row>
    <s:row x14ac:dyDescent="0.2" r="605" spans="1:4">
      <s:c r="A605" t="s">
        <s:v>1185</s:v>
      </s:c>
      <s:c r="B605" t="s">
        <s:v>1232</s:v>
      </s:c>
      <s:c r="C605">
        <s:v>10.5</s:v>
      </s:c>
      <s:c r="D605" t="s">
        <s:v>1233</s:v>
      </s:c>
    </s:row>
    <s:row x14ac:dyDescent="0.2" r="606" spans="1:4">
      <s:c r="A606" t="s">
        <s:v>1185</s:v>
      </s:c>
      <s:c r="B606" t="s">
        <s:v>1234</s:v>
      </s:c>
      <s:c r="C606">
        <s:v>8</s:v>
      </s:c>
      <s:c r="D606" t="s">
        <s:v>1235</s:v>
      </s:c>
    </s:row>
    <s:row x14ac:dyDescent="0.2" r="607" spans="1:4">
      <s:c r="A607" t="s">
        <s:v>1185</s:v>
      </s:c>
      <s:c r="B607" t="s">
        <s:v>1236</s:v>
      </s:c>
      <s:c r="C607">
        <s:v>15</s:v>
      </s:c>
      <s:c r="D607" t="s">
        <s:v>1237</s:v>
      </s:c>
    </s:row>
    <s:row x14ac:dyDescent="0.2" r="608" spans="1:4">
      <s:c r="A608" t="s">
        <s:v>1185</s:v>
      </s:c>
      <s:c r="B608" t="s">
        <s:v>1238</s:v>
      </s:c>
      <s:c r="C608">
        <s:v>10</s:v>
      </s:c>
      <s:c r="D608" t="s">
        <s:v>1239</s:v>
      </s:c>
    </s:row>
    <s:row x14ac:dyDescent="0.2" r="609" spans="1:4">
      <s:c r="A609" t="s">
        <s:v>1185</s:v>
      </s:c>
      <s:c r="B609" t="s">
        <s:v>1240</s:v>
      </s:c>
      <s:c r="C609">
        <s:v>18</s:v>
      </s:c>
      <s:c r="D609" t="s">
        <s:v>1241</s:v>
      </s:c>
    </s:row>
    <s:row x14ac:dyDescent="0.2" r="610" spans="1:4">
      <s:c r="A610" t="s">
        <s:v>1185</s:v>
      </s:c>
      <s:c r="B610" t="s">
        <s:v>1242</s:v>
      </s:c>
      <s:c r="C610">
        <s:v>19.3</s:v>
      </s:c>
      <s:c r="D610" t="s">
        <s:v>1243</s:v>
      </s:c>
    </s:row>
    <s:row x14ac:dyDescent="0.2" r="611" spans="1:4">
      <s:c r="A611" t="s">
        <s:v>1185</s:v>
      </s:c>
      <s:c r="B611" t="s">
        <s:v>1244</s:v>
      </s:c>
      <s:c r="C611">
        <s:v>8</s:v>
      </s:c>
      <s:c r="D611" t="s">
        <s:v>1245</s:v>
      </s:c>
    </s:row>
    <s:row x14ac:dyDescent="0.2" r="612" spans="1:4">
      <s:c r="A612" t="s">
        <s:v>1185</s:v>
      </s:c>
      <s:c r="B612" t="s">
        <s:v>1246</s:v>
      </s:c>
      <s:c r="C612">
        <s:v>13.3</s:v>
      </s:c>
      <s:c r="D612" t="s">
        <s:v>1247</s:v>
      </s:c>
    </s:row>
    <s:row x14ac:dyDescent="0.2" r="613" spans="1:4">
      <s:c r="A613" t="s">
        <s:v>1185</s:v>
      </s:c>
      <s:c r="B613" t="s">
        <s:v>1248</s:v>
      </s:c>
      <s:c r="C613">
        <s:v>10.3</s:v>
      </s:c>
      <s:c r="D613" t="s">
        <s:v>1249</s:v>
      </s:c>
    </s:row>
    <s:row x14ac:dyDescent="0.2" r="614" spans="1:4">
      <s:c r="A614" t="s">
        <s:v>1185</s:v>
      </s:c>
      <s:c r="B614" t="s">
        <s:v>1250</s:v>
      </s:c>
      <s:c r="C614">
        <s:v>13.3</s:v>
      </s:c>
      <s:c r="D614" t="s">
        <s:v>1251</s:v>
      </s:c>
    </s:row>
    <s:row x14ac:dyDescent="0.2" r="615" spans="1:4">
      <s:c r="A615" t="s">
        <s:v>1185</s:v>
      </s:c>
      <s:c r="B615" t="s">
        <s:v>1252</s:v>
      </s:c>
      <s:c r="C615">
        <s:v>15.5</s:v>
      </s:c>
      <s:c r="D615" t="s">
        <s:v>1253</s:v>
      </s:c>
    </s:row>
    <s:row x14ac:dyDescent="0.2" r="616" spans="1:4">
      <s:c r="A616" t="s">
        <s:v>1185</s:v>
      </s:c>
      <s:c r="B616" t="s">
        <s:v>1254</s:v>
      </s:c>
      <s:c r="C616">
        <s:v>17.5</s:v>
      </s:c>
      <s:c r="D616" t="s">
        <s:v>1255</s:v>
      </s:c>
    </s:row>
    <s:row x14ac:dyDescent="0.2" r="617" spans="1:4">
      <s:c r="A617" t="s">
        <s:v>1185</s:v>
      </s:c>
      <s:c r="B617" t="s">
        <s:v>1256</s:v>
      </s:c>
      <s:c r="C617">
        <s:v>8.8000000000000007</s:v>
      </s:c>
      <s:c r="D617" t="s">
        <s:v>1257</s:v>
      </s:c>
    </s:row>
    <s:row x14ac:dyDescent="0.2" r="618" spans="1:4">
      <s:c r="A618" t="s">
        <s:v>1185</s:v>
      </s:c>
      <s:c r="B618" t="s">
        <s:v>1258</s:v>
      </s:c>
      <s:c r="C618">
        <s:v>10.3</s:v>
      </s:c>
      <s:c r="D618" t="s">
        <s:v>1259</s:v>
      </s:c>
    </s:row>
    <s:row x14ac:dyDescent="0.2" r="619" spans="1:4">
      <s:c r="A619" t="s">
        <s:v>1185</s:v>
      </s:c>
      <s:c r="B619" t="s">
        <s:v>1260</s:v>
      </s:c>
      <s:c r="C619">
        <s:v>11.8</s:v>
      </s:c>
      <s:c r="D619" t="s">
        <s:v>1261</s:v>
      </s:c>
    </s:row>
    <s:row x14ac:dyDescent="0.2" r="620" spans="1:4">
      <s:c r="A620" t="s">
        <s:v>1185</s:v>
      </s:c>
      <s:c r="B620" t="s">
        <s:v>1262</s:v>
      </s:c>
      <s:c r="C620">
        <s:v>13.5</s:v>
      </s:c>
      <s:c r="D620" t="s">
        <s:v>1263</s:v>
      </s:c>
    </s:row>
    <s:row x14ac:dyDescent="0.2" r="621" spans="1:4">
      <s:c r="A621" t="s">
        <s:v>1185</s:v>
      </s:c>
      <s:c r="B621" t="s">
        <s:v>1264</s:v>
      </s:c>
      <s:c r="C621">
        <s:v>14.8</s:v>
      </s:c>
      <s:c r="D621" t="s">
        <s:v>1265</s:v>
      </s:c>
    </s:row>
    <s:row x14ac:dyDescent="0.2" r="622" spans="1:4">
      <s:c r="A622" t="s">
        <s:v>1185</s:v>
      </s:c>
      <s:c r="B622" t="s">
        <s:v>1266</s:v>
      </s:c>
      <s:c r="C622">
        <s:v>16.3</s:v>
      </s:c>
      <s:c r="D622" t="s">
        <s:v>1267</s:v>
      </s:c>
    </s:row>
    <s:row x14ac:dyDescent="0.2" r="623" spans="1:4">
      <s:c r="A623" t="s">
        <s:v>1185</s:v>
      </s:c>
      <s:c r="B623" t="s">
        <s:v>1268</s:v>
      </s:c>
      <s:c r="C623">
        <s:v>16</s:v>
      </s:c>
      <s:c r="D623" t="s">
        <s:v>1269</s:v>
      </s:c>
    </s:row>
    <s:row x14ac:dyDescent="0.2" r="624" spans="1:4">
      <s:c r="A624" t="s">
        <s:v>1185</s:v>
      </s:c>
      <s:c r="B624" t="s">
        <s:v>1270</s:v>
      </s:c>
      <s:c r="C624">
        <s:v>5.8</s:v>
      </s:c>
      <s:c r="D624" t="s">
        <s:v>1271</s:v>
      </s:c>
    </s:row>
    <s:row x14ac:dyDescent="0.2" r="625" spans="1:4">
      <s:c r="A625" t="s">
        <s:v>1185</s:v>
      </s:c>
      <s:c r="B625" t="s">
        <s:v>1272</s:v>
      </s:c>
      <s:c r="C625">
        <s:v>7.5</s:v>
      </s:c>
      <s:c r="D625" t="s">
        <s:v>1273</s:v>
      </s:c>
    </s:row>
    <s:row x14ac:dyDescent="0.2" r="626" spans="1:4">
      <s:c r="A626" t="s">
        <s:v>1185</s:v>
      </s:c>
      <s:c r="B626" t="s">
        <s:v>1274</s:v>
      </s:c>
      <s:c r="C626">
        <s:v>9</s:v>
      </s:c>
      <s:c r="D626" t="s">
        <s:v>1275</s:v>
      </s:c>
    </s:row>
    <s:row x14ac:dyDescent="0.2" r="627" spans="1:4">
      <s:c r="A627" t="s">
        <s:v>1185</s:v>
      </s:c>
      <s:c r="B627" t="s">
        <s:v>1276</s:v>
      </s:c>
      <s:c r="C627">
        <s:v>9.3000000000000007</s:v>
      </s:c>
      <s:c r="D627" t="s">
        <s:v>1277</s:v>
      </s:c>
    </s:row>
    <s:row x14ac:dyDescent="0.2" r="628" spans="1:4">
      <s:c r="A628" t="s">
        <s:v>1185</s:v>
      </s:c>
      <s:c r="B628" t="s">
        <s:v>1278</s:v>
      </s:c>
      <s:c r="C628">
        <s:v>13.8</s:v>
      </s:c>
      <s:c r="D628" t="s">
        <s:v>1279</s:v>
      </s:c>
    </s:row>
    <s:row x14ac:dyDescent="0.2" r="629" spans="1:4">
      <s:c r="A629" t="s">
        <s:v>1185</s:v>
      </s:c>
      <s:c r="B629" t="s">
        <s:v>1280</s:v>
      </s:c>
      <s:c r="C629">
        <s:v>5.3</s:v>
      </s:c>
      <s:c r="D629" t="s">
        <s:v>1281</s:v>
      </s:c>
    </s:row>
    <s:row x14ac:dyDescent="0.2" r="630" spans="1:4">
      <s:c r="A630" t="s">
        <s:v>1185</s:v>
      </s:c>
      <s:c r="B630" t="s">
        <s:v>1282</s:v>
      </s:c>
      <s:c r="C630">
        <s:v>6.5</s:v>
      </s:c>
      <s:c r="D630" t="s">
        <s:v>1283</s:v>
      </s:c>
    </s:row>
    <s:row x14ac:dyDescent="0.2" r="631" spans="1:4">
      <s:c r="A631" t="s">
        <s:v>1185</s:v>
      </s:c>
      <s:c r="B631" t="s">
        <s:v>1284</s:v>
      </s:c>
      <s:c r="C631">
        <s:v>11</s:v>
      </s:c>
      <s:c r="D631" t="s">
        <s:v>1285</s:v>
      </s:c>
    </s:row>
    <s:row x14ac:dyDescent="0.2" r="632" spans="1:4">
      <s:c r="A632" t="s">
        <s:v>1185</s:v>
      </s:c>
      <s:c r="B632" t="s">
        <s:v>1286</s:v>
      </s:c>
      <s:c r="C632">
        <s:v>12</s:v>
      </s:c>
      <s:c r="D632" t="s">
        <s:v>1287</s:v>
      </s:c>
    </s:row>
    <s:row x14ac:dyDescent="0.2" r="633" spans="1:4">
      <s:c r="A633" t="s">
        <s:v>1185</s:v>
      </s:c>
      <s:c r="B633" t="s">
        <s:v>1288</s:v>
      </s:c>
      <s:c r="C633">
        <s:v>14</s:v>
      </s:c>
      <s:c r="D633" t="s">
        <s:v>1289</s:v>
      </s:c>
    </s:row>
    <s:row x14ac:dyDescent="0.2" r="634" spans="1:4">
      <s:c r="A634" t="s">
        <s:v>1185</s:v>
      </s:c>
      <s:c r="B634" t="s">
        <s:v>1290</s:v>
      </s:c>
      <s:c r="C634">
        <s:v>16.8</s:v>
      </s:c>
      <s:c r="D634" t="s">
        <s:v>1291</s:v>
      </s:c>
    </s:row>
    <s:row x14ac:dyDescent="0.2" r="635" spans="1:4">
      <s:c r="A635" t="s">
        <s:v>1185</s:v>
      </s:c>
      <s:c r="B635" t="s">
        <s:v>1292</s:v>
      </s:c>
      <s:c r="C635">
        <s:v>8.5</s:v>
      </s:c>
      <s:c r="D635" t="s">
        <s:v>1293</s:v>
      </s:c>
    </s:row>
    <s:row x14ac:dyDescent="0.2" r="636" spans="1:4">
      <s:c r="A636" t="s">
        <s:v>1185</s:v>
      </s:c>
      <s:c r="B636" t="s">
        <s:v>1294</s:v>
      </s:c>
      <s:c r="C636">
        <s:v>9.5</s:v>
      </s:c>
      <s:c r="D636" t="s">
        <s:v>1295</s:v>
      </s:c>
    </s:row>
    <s:row x14ac:dyDescent="0.2" r="637" spans="1:4">
      <s:c r="A637" t="s">
        <s:v>1185</s:v>
      </s:c>
      <s:c r="B637" t="s">
        <s:v>1296</s:v>
      </s:c>
      <s:c r="C637">
        <s:v>9.8000000000000007</s:v>
      </s:c>
      <s:c r="D637" t="s">
        <s:v>1297</s:v>
      </s:c>
    </s:row>
    <s:row x14ac:dyDescent="0.2" r="638" spans="1:4">
      <s:c r="A638" t="s">
        <s:v>1185</s:v>
      </s:c>
      <s:c r="B638" t="s">
        <s:v>1298</s:v>
      </s:c>
      <s:c r="C638">
        <s:v>12</s:v>
      </s:c>
      <s:c r="D638" t="s">
        <s:v>1299</s:v>
      </s:c>
    </s:row>
    <s:row x14ac:dyDescent="0.2" r="639" spans="1:4">
      <s:c r="A639" t="s">
        <s:v>1185</s:v>
      </s:c>
      <s:c r="B639" t="s">
        <s:v>1300</s:v>
      </s:c>
      <s:c r="C639">
        <s:v>7.8</s:v>
      </s:c>
      <s:c r="D639" t="s">
        <s:v>1301</s:v>
      </s:c>
    </s:row>
    <s:row x14ac:dyDescent="0.2" r="640" spans="1:4">
      <s:c r="A640" t="s">
        <s:v>1185</s:v>
      </s:c>
      <s:c r="B640" t="s">
        <s:v>1302</s:v>
      </s:c>
      <s:c r="C640">
        <s:v>12</s:v>
      </s:c>
      <s:c r="D640" t="s">
        <s:v>1303</s:v>
      </s:c>
    </s:row>
    <s:row x14ac:dyDescent="0.2" r="641" spans="1:4">
      <s:c r="A641" t="s">
        <s:v>1185</s:v>
      </s:c>
      <s:c r="B641" t="s">
        <s:v>1304</s:v>
      </s:c>
      <s:c r="C641">
        <s:v>13.5</s:v>
      </s:c>
      <s:c r="D641" t="s">
        <s:v>1305</s:v>
      </s:c>
    </s:row>
    <s:row x14ac:dyDescent="0.2" r="642" spans="1:4">
      <s:c r="A642" t="s">
        <s:v>1185</s:v>
      </s:c>
      <s:c r="B642" t="s">
        <s:v>1306</s:v>
      </s:c>
      <s:c r="C642">
        <s:v>8</s:v>
      </s:c>
      <s:c r="D642" t="s">
        <s:v>1307</s:v>
      </s:c>
    </s:row>
    <s:row x14ac:dyDescent="0.2" r="643" spans="1:4">
      <s:c r="A643" t="s">
        <s:v>1185</s:v>
      </s:c>
      <s:c r="B643" t="s">
        <s:v>1308</s:v>
      </s:c>
      <s:c r="C643">
        <s:v>9</s:v>
      </s:c>
      <s:c r="D643" t="s">
        <s:v>1309</s:v>
      </s:c>
    </s:row>
    <s:row x14ac:dyDescent="0.2" r="644" spans="1:4">
      <s:c r="A644" t="s">
        <s:v>1185</s:v>
      </s:c>
      <s:c r="B644" t="s">
        <s:v>1310</s:v>
      </s:c>
      <s:c r="C644">
        <s:v>10</s:v>
      </s:c>
      <s:c r="D644" t="s">
        <s:v>1311</s:v>
      </s:c>
    </s:row>
    <s:row x14ac:dyDescent="0.2" r="645" spans="1:4">
      <s:c r="A645" t="s">
        <s:v>1185</s:v>
      </s:c>
      <s:c r="B645" t="s">
        <s:v>1312</s:v>
      </s:c>
      <s:c r="C645">
        <s:v>11.5</s:v>
      </s:c>
      <s:c r="D645" t="s">
        <s:v>1313</s:v>
      </s:c>
    </s:row>
    <s:row x14ac:dyDescent="0.2" r="646" spans="1:4">
      <s:c r="A646" t="s">
        <s:v>1185</s:v>
      </s:c>
      <s:c r="B646" t="s">
        <s:v>1314</s:v>
      </s:c>
      <s:c r="C646">
        <s:v>11.5</s:v>
      </s:c>
      <s:c r="D646" t="s">
        <s:v>1315</s:v>
      </s:c>
    </s:row>
    <s:row x14ac:dyDescent="0.2" r="647" spans="1:4">
      <s:c r="A647" t="s">
        <s:v>1185</s:v>
      </s:c>
      <s:c r="B647" t="s">
        <s:v>1316</s:v>
      </s:c>
      <s:c r="C647">
        <s:v>13</s:v>
      </s:c>
      <s:c r="D647" t="s">
        <s:v>1317</s:v>
      </s:c>
    </s:row>
    <s:row x14ac:dyDescent="0.2" r="648" spans="1:4">
      <s:c r="A648" t="s">
        <s:v>1318</s:v>
      </s:c>
      <s:c r="B648" t="s">
        <s:v>1319</s:v>
      </s:c>
      <s:c r="C648">
        <s:v>2.2999999999999998</s:v>
      </s:c>
      <s:c r="D648" t="s">
        <s:v>1320</s:v>
      </s:c>
    </s:row>
    <s:row x14ac:dyDescent="0.2" r="649" spans="1:4">
      <s:c r="A649" t="s">
        <s:v>1318</s:v>
      </s:c>
      <s:c r="B649" t="s">
        <s:v>1321</s:v>
      </s:c>
      <s:c r="C649">
        <s:v>2.2999999999999998</s:v>
      </s:c>
      <s:c r="D649" t="s">
        <s:v>1322</s:v>
      </s:c>
    </s:row>
    <s:row x14ac:dyDescent="0.2" r="650" spans="1:4">
      <s:c r="A650" t="s">
        <s:v>1318</s:v>
      </s:c>
      <s:c r="B650" t="s">
        <s:v>1323</s:v>
      </s:c>
      <s:c r="C650">
        <s:v>1.5</s:v>
      </s:c>
      <s:c r="D650" t="s">
        <s:v>1324</s:v>
      </s:c>
    </s:row>
    <s:row x14ac:dyDescent="0.2" r="651" spans="1:4">
      <s:c r="A651" t="s">
        <s:v>1318</s:v>
      </s:c>
      <s:c r="B651" t="s">
        <s:v>1325</s:v>
      </s:c>
      <s:c r="C651">
        <s:v>2.8</s:v>
      </s:c>
      <s:c r="D651" t="s">
        <s:v>1326</s:v>
      </s:c>
    </s:row>
    <s:row x14ac:dyDescent="0.2" r="652" spans="1:4">
      <s:c r="A652" t="s">
        <s:v>1318</s:v>
      </s:c>
      <s:c r="B652" t="s">
        <s:v>1327</s:v>
      </s:c>
      <s:c r="C652">
        <s:v>1.5</s:v>
      </s:c>
      <s:c r="D652" t="s">
        <s:v>1328</s:v>
      </s:c>
    </s:row>
    <s:row x14ac:dyDescent="0.2" r="653" spans="1:4">
      <s:c r="A653" t="s">
        <s:v>1318</s:v>
      </s:c>
      <s:c r="B653" t="s">
        <s:v>1329</s:v>
      </s:c>
      <s:c r="C653">
        <s:v>2</s:v>
      </s:c>
      <s:c r="D653" t="s">
        <s:v>1330</s:v>
      </s:c>
    </s:row>
    <s:row x14ac:dyDescent="0.2" r="654" spans="1:4">
      <s:c r="A654" t="s">
        <s:v>1318</s:v>
      </s:c>
      <s:c r="B654" t="s">
        <s:v>1331</s:v>
      </s:c>
      <s:c r="C654">
        <s:v>1.5</s:v>
      </s:c>
      <s:c r="D654" t="s">
        <s:v>1332</s:v>
      </s:c>
    </s:row>
    <s:row x14ac:dyDescent="0.2" r="655" spans="1:4">
      <s:c r="A655" t="s">
        <s:v>1318</s:v>
      </s:c>
      <s:c r="B655" t="s">
        <s:v>1333</s:v>
      </s:c>
      <s:c r="C655">
        <s:v>2</s:v>
      </s:c>
      <s:c r="D655" t="s">
        <s:v>1334</s:v>
      </s:c>
    </s:row>
    <s:row x14ac:dyDescent="0.2" r="656" spans="1:4">
      <s:c r="A656" t="s">
        <s:v>1318</s:v>
      </s:c>
      <s:c r="B656" t="s">
        <s:v>1335</s:v>
      </s:c>
      <s:c r="C656">
        <s:v>2.5</s:v>
      </s:c>
      <s:c r="D656" t="s">
        <s:v>1336</s:v>
      </s:c>
    </s:row>
    <s:row x14ac:dyDescent="0.2" r="657" spans="1:4">
      <s:c r="A657" t="s">
        <s:v>1318</s:v>
      </s:c>
      <s:c r="B657" t="s">
        <s:v>1337</s:v>
      </s:c>
      <s:c r="C657">
        <s:v>1.3</s:v>
      </s:c>
      <s:c r="D657" t="s">
        <s:v>1338</s:v>
      </s:c>
    </s:row>
    <s:row x14ac:dyDescent="0.2" r="658" spans="1:4">
      <s:c r="A658" t="s">
        <s:v>1318</s:v>
      </s:c>
      <s:c r="B658" t="s">
        <s:v>1339</s:v>
      </s:c>
      <s:c r="C658">
        <s:v>2</s:v>
      </s:c>
      <s:c r="D658" t="s">
        <s:v>1340</s:v>
      </s:c>
    </s:row>
    <s:row x14ac:dyDescent="0.2" r="659" spans="1:4">
      <s:c r="A659" t="s">
        <s:v>1341</s:v>
      </s:c>
      <s:c r="B659" t="s">
        <s:v>1342</s:v>
      </s:c>
      <s:c r="C659">
        <s:v>5.8</s:v>
      </s:c>
      <s:c r="D659" t="s">
        <s:v>1343</s:v>
      </s:c>
    </s:row>
    <s:row x14ac:dyDescent="0.2" r="660" spans="1:4">
      <s:c r="A660" t="s">
        <s:v>1341</s:v>
      </s:c>
      <s:c r="B660" t="s">
        <s:v>1344</s:v>
      </s:c>
      <s:c r="C660">
        <s:v>3</s:v>
      </s:c>
      <s:c r="D660" t="s">
        <s:v>1345</s:v>
      </s:c>
    </s:row>
    <s:row x14ac:dyDescent="0.2" r="661" spans="1:4">
      <s:c r="A661" t="s">
        <s:v>1341</s:v>
      </s:c>
      <s:c r="B661" t="s">
        <s:v>1346</s:v>
      </s:c>
      <s:c r="C661">
        <s:v>1.8</s:v>
      </s:c>
      <s:c r="D661" t="s">
        <s:v>1347</s:v>
      </s:c>
    </s:row>
    <s:row x14ac:dyDescent="0.2" r="662" spans="1:4">
      <s:c r="A662" t="s">
        <s:v>1348</s:v>
      </s:c>
      <s:c r="B662" t="s">
        <s:v>1349</s:v>
      </s:c>
      <s:c r="C662">
        <s:v>5.5</s:v>
      </s:c>
      <s:c r="D662" t="s">
        <s:v>1350</s:v>
      </s:c>
    </s:row>
    <s:row x14ac:dyDescent="0.2" r="663" spans="1:4">
      <s:c r="A663" t="s">
        <s:v>1348</s:v>
      </s:c>
      <s:c r="B663" t="s">
        <s:v>1351</s:v>
      </s:c>
      <s:c r="C663">
        <s:v>4.3</s:v>
      </s:c>
      <s:c r="D663" t="s">
        <s:v>1352</s:v>
      </s:c>
    </s:row>
    <s:row x14ac:dyDescent="0.2" r="664" spans="1:4">
      <s:c r="A664" t="s">
        <s:v>1348</s:v>
      </s:c>
      <s:c r="B664" t="s">
        <s:v>1353</s:v>
      </s:c>
      <s:c r="C664">
        <s:v>7</s:v>
      </s:c>
      <s:c r="D664" t="s">
        <s:v>1354</s:v>
      </s:c>
    </s:row>
    <s:row x14ac:dyDescent="0.2" r="665" spans="1:4">
      <s:c r="A665" t="s">
        <s:v>1348</s:v>
      </s:c>
      <s:c r="B665" t="s">
        <s:v>1355</s:v>
      </s:c>
      <s:c r="C665">
        <s:v>9</s:v>
      </s:c>
      <s:c r="D665" t="s">
        <s:v>1356</s:v>
      </s:c>
    </s:row>
    <s:row x14ac:dyDescent="0.2" r="666" spans="1:4">
      <s:c r="A666" t="s">
        <s:v>1348</s:v>
      </s:c>
      <s:c r="B666" t="s">
        <s:v>1357</s:v>
      </s:c>
      <s:c r="C666">
        <s:v>5.5</s:v>
      </s:c>
      <s:c r="D666" t="s">
        <s:v>1358</s:v>
      </s:c>
    </s:row>
    <s:row x14ac:dyDescent="0.2" r="667" spans="1:4">
      <s:c r="A667" t="s">
        <s:v>1348</s:v>
      </s:c>
      <s:c r="B667" t="s">
        <s:v>1359</s:v>
      </s:c>
      <s:c r="C667">
        <s:v>8</s:v>
      </s:c>
      <s:c r="D667" t="s">
        <s:v>1360</s:v>
      </s:c>
    </s:row>
    <s:row x14ac:dyDescent="0.2" r="668" spans="1:4">
      <s:c r="A668" t="s">
        <s:v>1348</s:v>
      </s:c>
      <s:c r="B668" t="s">
        <s:v>1361</s:v>
      </s:c>
      <s:c r="C668">
        <s:v>6</s:v>
      </s:c>
      <s:c r="D668" t="s">
        <s:v>1362</s:v>
      </s:c>
    </s:row>
    <s:row x14ac:dyDescent="0.2" r="669" spans="1:4">
      <s:c r="A669" t="s">
        <s:v>1348</s:v>
      </s:c>
      <s:c r="B669" t="s">
        <s:v>1363</s:v>
      </s:c>
      <s:c r="C669">
        <s:v>7.5</s:v>
      </s:c>
      <s:c r="D669" t="s">
        <s:v>1364</s:v>
      </s:c>
    </s:row>
    <s:row x14ac:dyDescent="0.2" r="670" spans="1:4">
      <s:c r="A670" t="s">
        <s:v>1348</s:v>
      </s:c>
      <s:c r="B670" t="s">
        <s:v>1365</s:v>
      </s:c>
      <s:c r="C670">
        <s:v>7</s:v>
      </s:c>
      <s:c r="D670" t="s">
        <s:v>1366</s:v>
      </s:c>
    </s:row>
    <s:row x14ac:dyDescent="0.2" r="671" spans="1:4">
      <s:c r="A671" t="s">
        <s:v>1348</s:v>
      </s:c>
      <s:c r="B671" t="s">
        <s:v>1367</s:v>
      </s:c>
      <s:c r="C671">
        <s:v>5.8</s:v>
      </s:c>
      <s:c r="D671" t="s">
        <s:v>1368</s:v>
      </s:c>
    </s:row>
    <s:row x14ac:dyDescent="0.2" r="672" spans="1:4">
      <s:c r="A672" t="s">
        <s:v>1348</s:v>
      </s:c>
      <s:c r="B672" t="s">
        <s:v>1369</s:v>
      </s:c>
      <s:c r="C672">
        <s:v>5</s:v>
      </s:c>
      <s:c r="D672" t="s">
        <s:v>1370</s:v>
      </s:c>
    </s:row>
    <s:row x14ac:dyDescent="0.2" r="673" spans="1:4">
      <s:c r="A673" t="s">
        <s:v>1348</s:v>
      </s:c>
      <s:c r="B673" t="s">
        <s:v>1371</s:v>
      </s:c>
      <s:c r="C673">
        <s:v>9.3000000000000007</s:v>
      </s:c>
      <s:c r="D673" t="s">
        <s:v>1372</s:v>
      </s:c>
    </s:row>
    <s:row x14ac:dyDescent="0.2" r="674" spans="1:4">
      <s:c r="A674" t="s">
        <s:v>1348</s:v>
      </s:c>
      <s:c r="B674" t="s">
        <s:v>1373</s:v>
      </s:c>
      <s:c r="C674">
        <s:v>2.5</s:v>
      </s:c>
      <s:c r="D674" t="s">
        <s:v>1374</s:v>
      </s:c>
    </s:row>
    <s:row x14ac:dyDescent="0.2" r="675" spans="1:4">
      <s:c r="A675" t="s">
        <s:v>1348</s:v>
      </s:c>
      <s:c r="B675" t="s">
        <s:v>1375</s:v>
      </s:c>
      <s:c r="C675">
        <s:v>3</s:v>
      </s:c>
      <s:c r="D675" t="s">
        <s:v>1376</s:v>
      </s:c>
    </s:row>
    <s:row x14ac:dyDescent="0.2" r="676" spans="1:4">
      <s:c r="A676" t="s">
        <s:v>1348</s:v>
      </s:c>
      <s:c r="B676" t="s">
        <s:v>1377</s:v>
      </s:c>
      <s:c r="C676">
        <s:v>3.8</s:v>
      </s:c>
      <s:c r="D676" t="s">
        <s:v>1378</s:v>
      </s:c>
    </s:row>
    <s:row x14ac:dyDescent="0.2" r="677" spans="1:4">
      <s:c r="A677" t="s">
        <s:v>1348</s:v>
      </s:c>
      <s:c r="B677" t="s">
        <s:v>1379</s:v>
      </s:c>
      <s:c r="C677">
        <s:v>12.3</s:v>
      </s:c>
      <s:c r="D677" t="s">
        <s:v>1380</s:v>
      </s:c>
    </s:row>
    <s:row x14ac:dyDescent="0.2" r="678" spans="1:4">
      <s:c r="A678" t="s">
        <s:v>1348</s:v>
      </s:c>
      <s:c r="B678" t="s">
        <s:v>1381</s:v>
      </s:c>
      <s:c r="C678">
        <s:v>5.8</s:v>
      </s:c>
      <s:c r="D678" t="s">
        <s:v>1382</s:v>
      </s:c>
    </s:row>
    <s:row x14ac:dyDescent="0.2" r="679" spans="1:4">
      <s:c r="A679" t="s">
        <s:v>1348</s:v>
      </s:c>
      <s:c r="B679" t="s">
        <s:v>1383</s:v>
      </s:c>
      <s:c r="C679">
        <s:v>7</s:v>
      </s:c>
      <s:c r="D679" t="s">
        <s:v>1384</s:v>
      </s:c>
    </s:row>
    <s:row x14ac:dyDescent="0.2" r="680" spans="1:4">
      <s:c r="A680" t="s">
        <s:v>1348</s:v>
      </s:c>
      <s:c r="B680" t="s">
        <s:v>1385</s:v>
      </s:c>
      <s:c r="C680">
        <s:v>8.5</s:v>
      </s:c>
      <s:c r="D680" t="s">
        <s:v>1386</s:v>
      </s:c>
    </s:row>
    <s:row x14ac:dyDescent="0.2" r="681" spans="1:4">
      <s:c r="A681" t="s">
        <s:v>1348</s:v>
      </s:c>
      <s:c r="B681" t="s">
        <s:v>1387</s:v>
      </s:c>
      <s:c r="C681">
        <s:v>10.8</s:v>
      </s:c>
      <s:c r="D681" t="s">
        <s:v>1388</s:v>
      </s:c>
    </s:row>
    <s:row x14ac:dyDescent="0.2" r="682" spans="1:4">
      <s:c r="A682" t="s">
        <s:v>1348</s:v>
      </s:c>
      <s:c r="B682" t="s">
        <s:v>1389</s:v>
      </s:c>
      <s:c r="C682">
        <s:v>7.8</s:v>
      </s:c>
      <s:c r="D682" t="s">
        <s:v>1390</s:v>
      </s:c>
    </s:row>
    <s:row x14ac:dyDescent="0.2" r="683" spans="1:4">
      <s:c r="A683" t="s">
        <s:v>1348</s:v>
      </s:c>
      <s:c r="B683" t="s">
        <s:v>1391</s:v>
      </s:c>
      <s:c r="C683">
        <s:v>9.3000000000000007</s:v>
      </s:c>
      <s:c r="D683" t="s">
        <s:v>1392</s:v>
      </s:c>
    </s:row>
    <s:row x14ac:dyDescent="0.2" r="684" spans="1:4">
      <s:c r="A684" t="s">
        <s:v>1348</s:v>
      </s:c>
      <s:c r="B684" t="s">
        <s:v>1393</s:v>
      </s:c>
      <s:c r="C684">
        <s:v>7</s:v>
      </s:c>
      <s:c r="D684" t="s">
        <s:v>1394</s:v>
      </s:c>
    </s:row>
    <s:row x14ac:dyDescent="0.2" r="685" spans="1:4">
      <s:c r="A685" t="s">
        <s:v>1348</s:v>
      </s:c>
      <s:c r="B685" t="s">
        <s:v>1395</s:v>
      </s:c>
      <s:c r="C685">
        <s:v>5.8</s:v>
      </s:c>
      <s:c r="D685" t="s">
        <s:v>1396</s:v>
      </s:c>
    </s:row>
    <s:row x14ac:dyDescent="0.2" r="686" spans="1:4">
      <s:c r="A686" t="s">
        <s:v>1348</s:v>
      </s:c>
      <s:c r="B686" t="s">
        <s:v>1397</s:v>
      </s:c>
      <s:c r="C686">
        <s:v>6</s:v>
      </s:c>
      <s:c r="D686" t="s">
        <s:v>1398</s:v>
      </s:c>
    </s:row>
    <s:row x14ac:dyDescent="0.2" r="687" spans="1:4">
      <s:c r="A687" t="s">
        <s:v>1348</s:v>
      </s:c>
      <s:c r="B687" t="s">
        <s:v>1399</s:v>
      </s:c>
      <s:c r="C687">
        <s:v>4</s:v>
      </s:c>
      <s:c r="D687" t="s">
        <s:v>1400</s:v>
      </s:c>
    </s:row>
    <s:row x14ac:dyDescent="0.2" r="688" spans="1:4">
      <s:c r="A688" t="s">
        <s:v>1348</s:v>
      </s:c>
      <s:c r="B688" t="s">
        <s:v>1401</s:v>
      </s:c>
      <s:c r="C688">
        <s:v>8</s:v>
      </s:c>
      <s:c r="D688" t="s">
        <s:v>1402</s:v>
      </s:c>
    </s:row>
    <s:row x14ac:dyDescent="0.2" r="689" spans="1:4">
      <s:c r="A689" t="s">
        <s:v>1348</s:v>
      </s:c>
      <s:c r="B689" t="s">
        <s:v>1403</s:v>
      </s:c>
      <s:c r="C689">
        <s:v>4.8</s:v>
      </s:c>
      <s:c r="D689" t="s">
        <s:v>1404</s:v>
      </s:c>
    </s:row>
    <s:row x14ac:dyDescent="0.2" r="690" spans="1:4">
      <s:c r="A690" t="s">
        <s:v>1348</s:v>
      </s:c>
      <s:c r="B690" t="s">
        <s:v>1405</s:v>
      </s:c>
      <s:c r="C690">
        <s:v>3.3</s:v>
      </s:c>
      <s:c r="D690" t="s">
        <s:v>1406</s:v>
      </s:c>
    </s:row>
    <s:row x14ac:dyDescent="0.2" r="691" spans="1:4">
      <s:c r="A691" t="s">
        <s:v>1348</s:v>
      </s:c>
      <s:c r="B691" t="s">
        <s:v>1407</s:v>
      </s:c>
      <s:c r="C691">
        <s:v>4</s:v>
      </s:c>
      <s:c r="D691" t="s">
        <s:v>1408</s:v>
      </s:c>
    </s:row>
    <s:row x14ac:dyDescent="0.2" r="692" spans="1:4">
      <s:c r="A692" t="s">
        <s:v>1348</s:v>
      </s:c>
      <s:c r="B692" t="s">
        <s:v>1409</s:v>
      </s:c>
      <s:c r="C692">
        <s:v>2.5</s:v>
      </s:c>
      <s:c r="D692" t="s">
        <s:v>1410</s:v>
      </s:c>
    </s:row>
    <s:row x14ac:dyDescent="0.2" r="693" spans="1:4">
      <s:c r="A693" t="s">
        <s:v>1348</s:v>
      </s:c>
      <s:c r="B693" t="s">
        <s:v>1411</s:v>
      </s:c>
      <s:c r="C693">
        <s:v>6</s:v>
      </s:c>
      <s:c r="D693" t="s">
        <s:v>1412</s:v>
      </s:c>
    </s:row>
    <s:row x14ac:dyDescent="0.2" r="694" spans="1:4">
      <s:c r="A694" t="s">
        <s:v>1348</s:v>
      </s:c>
      <s:c r="B694" t="s">
        <s:v>1413</s:v>
      </s:c>
      <s:c r="C694">
        <s:v>8.5</s:v>
      </s:c>
      <s:c r="D694" t="s">
        <s:v>1414</s:v>
      </s:c>
    </s:row>
    <s:row x14ac:dyDescent="0.2" r="695" spans="1:4">
      <s:c r="A695" t="s">
        <s:v>1348</s:v>
      </s:c>
      <s:c r="B695" t="s">
        <s:v>1415</s:v>
      </s:c>
      <s:c r="C695">
        <s:v>7.8</s:v>
      </s:c>
      <s:c r="D695" t="s">
        <s:v>1416</s:v>
      </s:c>
    </s:row>
    <s:row x14ac:dyDescent="0.2" r="696" spans="1:4">
      <s:c r="A696" t="s">
        <s:v>1348</s:v>
      </s:c>
      <s:c r="B696" t="s">
        <s:v>1417</s:v>
      </s:c>
      <s:c r="C696">
        <s:v>6</s:v>
      </s:c>
      <s:c r="D696" t="s">
        <s:v>1418</s:v>
      </s:c>
    </s:row>
    <s:row x14ac:dyDescent="0.2" r="697" spans="1:4">
      <s:c r="A697" t="s">
        <s:v>1348</s:v>
      </s:c>
      <s:c r="B697" t="s">
        <s:v>1419</s:v>
      </s:c>
      <s:c r="C697">
        <s:v>9.8000000000000007</s:v>
      </s:c>
      <s:c r="D697" t="s">
        <s:v>1420</s:v>
      </s:c>
    </s:row>
    <s:row x14ac:dyDescent="0.2" r="698" spans="1:4">
      <s:c r="A698" t="s">
        <s:v>1348</s:v>
      </s:c>
      <s:c r="B698" t="s">
        <s:v>1421</s:v>
      </s:c>
      <s:c r="C698">
        <s:v>10.5</s:v>
      </s:c>
      <s:c r="D698" t="s">
        <s:v>1422</s:v>
      </s:c>
    </s:row>
    <s:row x14ac:dyDescent="0.2" r="699" spans="1:4">
      <s:c r="A699" t="s">
        <s:v>1348</s:v>
      </s:c>
      <s:c r="B699" t="s">
        <s:v>1423</s:v>
      </s:c>
      <s:c r="C699">
        <s:v>8</s:v>
      </s:c>
      <s:c r="D699" t="s">
        <s:v>1424</s:v>
      </s:c>
    </s:row>
    <s:row x14ac:dyDescent="0.2" r="700" spans="1:4">
      <s:c r="A700" t="s">
        <s:v>1348</s:v>
      </s:c>
      <s:c r="B700" t="s">
        <s:v>1425</s:v>
      </s:c>
      <s:c r="C700">
        <s:v>8</s:v>
      </s:c>
      <s:c r="D700" t="s">
        <s:v>1426</s:v>
      </s:c>
    </s:row>
    <s:row x14ac:dyDescent="0.2" r="701" spans="1:4">
      <s:c r="A701" t="s">
        <s:v>1348</s:v>
      </s:c>
      <s:c r="B701" t="s">
        <s:v>1427</s:v>
      </s:c>
      <s:c r="C701">
        <s:v>4</s:v>
      </s:c>
      <s:c r="D701" t="s">
        <s:v>1428</s:v>
      </s:c>
    </s:row>
    <s:row x14ac:dyDescent="0.2" r="702" spans="1:4">
      <s:c r="A702" t="s">
        <s:v>1348</s:v>
      </s:c>
      <s:c r="B702" t="s">
        <s:v>1429</s:v>
      </s:c>
      <s:c r="C702">
        <s:v>2.5</s:v>
      </s:c>
      <s:c r="D702" t="s">
        <s:v>1430</s:v>
      </s:c>
    </s:row>
    <s:row x14ac:dyDescent="0.2" r="703" spans="1:4">
      <s:c r="A703" t="s">
        <s:v>1348</s:v>
      </s:c>
      <s:c r="B703" t="s">
        <s:v>1431</s:v>
      </s:c>
      <s:c r="C703">
        <s:v>3</s:v>
      </s:c>
      <s:c r="D703" t="s">
        <s:v>1432</s:v>
      </s:c>
    </s:row>
    <s:row x14ac:dyDescent="0.2" r="704" spans="1:4">
      <s:c r="A704" t="s">
        <s:v>1348</s:v>
      </s:c>
      <s:c r="B704" t="s">
        <s:v>1433</s:v>
      </s:c>
      <s:c r="C704">
        <s:v>8</s:v>
      </s:c>
      <s:c r="D704" t="s">
        <s:v>1434</s:v>
      </s:c>
    </s:row>
    <s:row x14ac:dyDescent="0.2" r="705" spans="1:4">
      <s:c r="A705" t="s">
        <s:v>1348</s:v>
      </s:c>
      <s:c r="B705" t="s">
        <s:v>1435</s:v>
      </s:c>
      <s:c r="C705">
        <s:v>3.8</s:v>
      </s:c>
      <s:c r="D705" t="s">
        <s:v>1436</s:v>
      </s:c>
    </s:row>
    <s:row x14ac:dyDescent="0.2" r="706" spans="1:4">
      <s:c r="A706" t="s">
        <s:v>1348</s:v>
      </s:c>
      <s:c r="B706" t="s">
        <s:v>1437</s:v>
      </s:c>
      <s:c r="C706">
        <s:v>4.5</s:v>
      </s:c>
      <s:c r="D706" t="s">
        <s:v>1438</s:v>
      </s:c>
    </s:row>
    <s:row x14ac:dyDescent="0.2" r="707" spans="1:4">
      <s:c r="A707" t="s">
        <s:v>1348</s:v>
      </s:c>
      <s:c r="B707" t="s">
        <s:v>1439</s:v>
      </s:c>
      <s:c r="C707">
        <s:v>4.3</s:v>
      </s:c>
      <s:c r="D707" t="s">
        <s:v>1440</s:v>
      </s:c>
    </s:row>
    <s:row x14ac:dyDescent="0.2" r="708" spans="1:4">
      <s:c r="A708" t="s">
        <s:v>1348</s:v>
      </s:c>
      <s:c r="B708" t="s">
        <s:v>1441</s:v>
      </s:c>
      <s:c r="C708">
        <s:v>3.5</s:v>
      </s:c>
      <s:c r="D708" t="s">
        <s:v>1442</s:v>
      </s:c>
    </s:row>
    <s:row x14ac:dyDescent="0.2" r="709" spans="1:4">
      <s:c r="A709" t="s">
        <s:v>1348</s:v>
      </s:c>
      <s:c r="B709" t="s">
        <s:v>1443</s:v>
      </s:c>
      <s:c r="C709">
        <s:v>4.5</s:v>
      </s:c>
      <s:c r="D709" t="s">
        <s:v>1444</s:v>
      </s:c>
    </s:row>
    <s:row x14ac:dyDescent="0.2" r="710" spans="1:4">
      <s:c r="A710" t="s">
        <s:v>1348</s:v>
      </s:c>
      <s:c r="B710" t="s">
        <s:v>1445</s:v>
      </s:c>
      <s:c r="C710">
        <s:v>3.5</s:v>
      </s:c>
      <s:c r="D710" t="s">
        <s:v>1446</s:v>
      </s:c>
    </s:row>
    <s:row x14ac:dyDescent="0.2" r="711" spans="1:4">
      <s:c r="A711" t="s">
        <s:v>1348</s:v>
      </s:c>
      <s:c r="B711" t="s">
        <s:v>1447</s:v>
      </s:c>
      <s:c r="C711">
        <s:v>3.8</s:v>
      </s:c>
      <s:c r="D711" t="s">
        <s:v>1448</s:v>
      </s:c>
    </s:row>
    <s:row x14ac:dyDescent="0.2" r="712" spans="1:4">
      <s:c r="A712" t="s">
        <s:v>1348</s:v>
      </s:c>
      <s:c r="B712" t="s">
        <s:v>1449</s:v>
      </s:c>
      <s:c r="C712">
        <s:v>4</s:v>
      </s:c>
      <s:c r="D712" t="s">
        <s:v>1450</s:v>
      </s:c>
    </s:row>
    <s:row x14ac:dyDescent="0.2" r="713" spans="1:4">
      <s:c r="A713" t="s">
        <s:v>1348</s:v>
      </s:c>
      <s:c r="B713" t="s">
        <s:v>1451</s:v>
      </s:c>
      <s:c r="C713">
        <s:v>12</s:v>
      </s:c>
      <s:c r="D713" t="s">
        <s:v>1452</s:v>
      </s:c>
    </s:row>
    <s:row x14ac:dyDescent="0.2" r="714" spans="1:4">
      <s:c r="A714" t="s">
        <s:v>1348</s:v>
      </s:c>
      <s:c r="B714" t="s">
        <s:v>1453</s:v>
      </s:c>
      <s:c r="C714">
        <s:v>8</s:v>
      </s:c>
      <s:c r="D714" t="s">
        <s:v>1454</s:v>
      </s:c>
    </s:row>
    <s:row x14ac:dyDescent="0.2" r="715" spans="1:4">
      <s:c r="A715" t="s">
        <s:v>1348</s:v>
      </s:c>
      <s:c r="B715" t="s">
        <s:v>1455</s:v>
      </s:c>
      <s:c r="C715">
        <s:v>4</s:v>
      </s:c>
      <s:c r="D715" t="s">
        <s:v>1456</s:v>
      </s:c>
    </s:row>
    <s:row x14ac:dyDescent="0.2" r="716" spans="1:4">
      <s:c r="A716" t="s">
        <s:v>1348</s:v>
      </s:c>
      <s:c r="B716" t="s">
        <s:v>1457</s:v>
      </s:c>
      <s:c r="C716">
        <s:v>3.5</s:v>
      </s:c>
      <s:c r="D716" t="s">
        <s:v>1458</s:v>
      </s:c>
    </s:row>
    <s:row x14ac:dyDescent="0.2" r="717" spans="1:4">
      <s:c r="A717" t="s">
        <s:v>1348</s:v>
      </s:c>
      <s:c r="B717" t="s">
        <s:v>1459</s:v>
      </s:c>
      <s:c r="C717">
        <s:v>7.8</s:v>
      </s:c>
      <s:c r="D717" t="s">
        <s:v>1460</s:v>
      </s:c>
    </s:row>
    <s:row x14ac:dyDescent="0.2" r="718" spans="1:4">
      <s:c r="A718" t="s">
        <s:v>1348</s:v>
      </s:c>
      <s:c r="B718" t="s">
        <s:v>1461</s:v>
      </s:c>
      <s:c r="C718">
        <s:v>8</s:v>
      </s:c>
      <s:c r="D718" t="s">
        <s:v>1462</s:v>
      </s:c>
    </s:row>
    <s:row x14ac:dyDescent="0.2" r="719" spans="1:4">
      <s:c r="A719" t="s">
        <s:v>1348</s:v>
      </s:c>
      <s:c r="B719" t="s">
        <s:v>1463</s:v>
      </s:c>
      <s:c r="C719">
        <s:v>10</s:v>
      </s:c>
      <s:c r="D719" t="s">
        <s:v>1464</s:v>
      </s:c>
    </s:row>
    <s:row x14ac:dyDescent="0.2" r="720" spans="1:4">
      <s:c r="A720" t="s">
        <s:v>1348</s:v>
      </s:c>
      <s:c r="B720" t="s">
        <s:v>1465</s:v>
      </s:c>
      <s:c r="C720">
        <s:v>5.5</s:v>
      </s:c>
      <s:c r="D720" t="s">
        <s:v>1466</s:v>
      </s:c>
    </s:row>
    <s:row x14ac:dyDescent="0.2" r="721" spans="1:4">
      <s:c r="A721" t="s">
        <s:v>1348</s:v>
      </s:c>
      <s:c r="B721" t="s">
        <s:v>1467</s:v>
      </s:c>
      <s:c r="C721">
        <s:v>4.5</s:v>
      </s:c>
      <s:c r="D721" t="s">
        <s:v>1468</s:v>
      </s:c>
    </s:row>
    <s:row x14ac:dyDescent="0.2" r="722" spans="1:4">
      <s:c r="A722" t="s">
        <s:v>1348</s:v>
      </s:c>
      <s:c r="B722" t="s">
        <s:v>1469</s:v>
      </s:c>
      <s:c r="C722">
        <s:v>5.8</s:v>
      </s:c>
      <s:c r="D722" t="s">
        <s:v>1470</s:v>
      </s:c>
    </s:row>
    <s:row x14ac:dyDescent="0.2" r="723" spans="1:4">
      <s:c r="A723" t="s">
        <s:v>1348</s:v>
      </s:c>
      <s:c r="B723" t="s">
        <s:v>1471</s:v>
      </s:c>
      <s:c r="C723">
        <s:v>7.3</s:v>
      </s:c>
      <s:c r="D723" t="s">
        <s:v>1472</s:v>
      </s:c>
    </s:row>
    <s:row x14ac:dyDescent="0.2" r="724" spans="1:4">
      <s:c r="A724" t="s">
        <s:v>1348</s:v>
      </s:c>
      <s:c r="B724" t="s">
        <s:v>1473</s:v>
      </s:c>
      <s:c r="C724">
        <s:v>3.8</s:v>
      </s:c>
      <s:c r="D724" t="s">
        <s:v>1474</s:v>
      </s:c>
    </s:row>
    <s:row x14ac:dyDescent="0.2" r="725" spans="1:4">
      <s:c r="A725" t="s">
        <s:v>1348</s:v>
      </s:c>
      <s:c r="B725" t="s">
        <s:v>1475</s:v>
      </s:c>
      <s:c r="C725">
        <s:v>9</s:v>
      </s:c>
      <s:c r="D725" t="s">
        <s:v>1476</s:v>
      </s:c>
    </s:row>
    <s:row x14ac:dyDescent="0.2" r="726" spans="1:4">
      <s:c r="A726" t="s">
        <s:v>1348</s:v>
      </s:c>
      <s:c r="B726" t="s">
        <s:v>1477</s:v>
      </s:c>
      <s:c r="C726">
        <s:v>6</s:v>
      </s:c>
      <s:c r="D726" t="s">
        <s:v>1478</s:v>
      </s:c>
    </s:row>
    <s:row x14ac:dyDescent="0.2" r="727" spans="1:4">
      <s:c r="A727" t="s">
        <s:v>1348</s:v>
      </s:c>
      <s:c r="B727" t="s">
        <s:v>1479</s:v>
      </s:c>
      <s:c r="C727">
        <s:v>2.1</s:v>
      </s:c>
      <s:c r="D727" t="s">
        <s:v>1480</s:v>
      </s:c>
    </s:row>
    <s:row x14ac:dyDescent="0.2" r="728" spans="1:4">
      <s:c r="A728" t="s">
        <s:v>1348</s:v>
      </s:c>
      <s:c r="B728" t="s">
        <s:v>1481</s:v>
      </s:c>
      <s:c r="C728">
        <s:v>1.8</s:v>
      </s:c>
      <s:c r="D728" t="s">
        <s:v>1482</s:v>
      </s:c>
    </s:row>
    <s:row x14ac:dyDescent="0.2" r="729" spans="1:4">
      <s:c r="A729" t="s">
        <s:v>1348</s:v>
      </s:c>
      <s:c r="B729" t="s">
        <s:v>1483</s:v>
      </s:c>
      <s:c r="C729">
        <s:v>3</s:v>
      </s:c>
      <s:c r="D729" t="s">
        <s:v>1484</s:v>
      </s:c>
    </s:row>
    <s:row x14ac:dyDescent="0.2" r="730" spans="1:4">
      <s:c r="A730" t="s">
        <s:v>1348</s:v>
      </s:c>
      <s:c r="B730" t="s">
        <s:v>1485</s:v>
      </s:c>
      <s:c r="C730">
        <s:v>12</s:v>
      </s:c>
      <s:c r="D730" t="s">
        <s:v>1486</s:v>
      </s:c>
    </s:row>
    <s:row x14ac:dyDescent="0.2" r="731" spans="1:4">
      <s:c r="A731" t="s">
        <s:v>1348</s:v>
      </s:c>
      <s:c r="B731" t="s">
        <s:v>1487</s:v>
      </s:c>
      <s:c r="C731">
        <s:v>5.3</s:v>
      </s:c>
      <s:c r="D731" t="s">
        <s:v>1488</s:v>
      </s:c>
    </s:row>
    <s:row x14ac:dyDescent="0.2" r="732" spans="1:4">
      <s:c r="A732" t="s">
        <s:v>1348</s:v>
      </s:c>
      <s:c r="B732" t="s">
        <s:v>1489</s:v>
      </s:c>
      <s:c r="C732">
        <s:v>10.3</s:v>
      </s:c>
      <s:c r="D732" t="s">
        <s:v>1490</s:v>
      </s:c>
    </s:row>
    <s:row x14ac:dyDescent="0.2" r="733" spans="1:4">
      <s:c r="A733" t="s">
        <s:v>1348</s:v>
      </s:c>
      <s:c r="B733" t="s">
        <s:v>1491</s:v>
      </s:c>
      <s:c r="C733">
        <s:v>14.3</s:v>
      </s:c>
      <s:c r="D733" t="s">
        <s:v>1492</s:v>
      </s:c>
    </s:row>
    <s:row x14ac:dyDescent="0.2" r="734" spans="1:4">
      <s:c r="A734" t="s">
        <s:v>1348</s:v>
      </s:c>
      <s:c r="B734" t="s">
        <s:v>1493</s:v>
      </s:c>
      <s:c r="C734">
        <s:v>11.3</s:v>
      </s:c>
      <s:c r="D734" t="s">
        <s:v>1494</s:v>
      </s:c>
    </s:row>
    <s:row x14ac:dyDescent="0.2" r="735" spans="1:4">
      <s:c r="A735" t="s">
        <s:v>1348</s:v>
      </s:c>
      <s:c r="B735" t="s">
        <s:v>1495</s:v>
      </s:c>
      <s:c r="C735">
        <s:v>4</s:v>
      </s:c>
      <s:c r="D735" t="s">
        <s:v>1496</s:v>
      </s:c>
    </s:row>
    <s:row x14ac:dyDescent="0.2" r="736" spans="1:4">
      <s:c r="A736" t="s">
        <s:v>1348</s:v>
      </s:c>
      <s:c r="B736" t="s">
        <s:v>1497</s:v>
      </s:c>
      <s:c r="C736">
        <s:v>6.5</s:v>
      </s:c>
      <s:c r="D736" t="s">
        <s:v>1498</s:v>
      </s:c>
    </s:row>
    <s:row x14ac:dyDescent="0.2" r="737" spans="1:4">
      <s:c r="A737" t="s">
        <s:v>1348</s:v>
      </s:c>
      <s:c r="B737" t="s">
        <s:v>1499</s:v>
      </s:c>
      <s:c r="C737">
        <s:v>9.6</s:v>
      </s:c>
      <s:c r="D737" t="s">
        <s:v>1500</s:v>
      </s:c>
    </s:row>
    <s:row x14ac:dyDescent="0.2" r="738" spans="1:4">
      <s:c r="A738" t="s">
        <s:v>1348</s:v>
      </s:c>
      <s:c r="B738" t="s">
        <s:v>1501</s:v>
      </s:c>
      <s:c r="C738">
        <s:v>11.3</s:v>
      </s:c>
      <s:c r="D738" t="s">
        <s:v>1502</s:v>
      </s:c>
    </s:row>
    <s:row x14ac:dyDescent="0.2" r="739" spans="1:4">
      <s:c r="A739" t="s">
        <s:v>1348</s:v>
      </s:c>
      <s:c r="B739" t="s">
        <s:v>1503</s:v>
      </s:c>
      <s:c r="C739">
        <s:v>7</s:v>
      </s:c>
      <s:c r="D739" t="s">
        <s:v>1504</s:v>
      </s:c>
    </s:row>
    <s:row x14ac:dyDescent="0.2" r="740" spans="1:4">
      <s:c r="A740" t="s">
        <s:v>1348</s:v>
      </s:c>
      <s:c r="B740" t="s">
        <s:v>1505</s:v>
      </s:c>
      <s:c r="C740">
        <s:v>5.5</s:v>
      </s:c>
      <s:c r="D740" t="s">
        <s:v>1506</s:v>
      </s:c>
    </s:row>
    <s:row x14ac:dyDescent="0.2" r="741" spans="1:4">
      <s:c r="A741" t="s">
        <s:v>1348</s:v>
      </s:c>
      <s:c r="B741" t="s">
        <s:v>1507</s:v>
      </s:c>
      <s:c r="C741">
        <s:v>7.3</s:v>
      </s:c>
      <s:c r="D741" t="s">
        <s:v>1508</s:v>
      </s:c>
    </s:row>
    <s:row x14ac:dyDescent="0.2" r="742" spans="1:4">
      <s:c r="A742" t="s">
        <s:v>1348</s:v>
      </s:c>
      <s:c r="B742" t="s">
        <s:v>1509</s:v>
      </s:c>
      <s:c r="C742">
        <s:v>8</s:v>
      </s:c>
      <s:c r="D742" t="s">
        <s:v>1510</s:v>
      </s:c>
    </s:row>
    <s:row x14ac:dyDescent="0.2" r="743" spans="1:4">
      <s:c r="A743" t="s">
        <s:v>1348</s:v>
      </s:c>
      <s:c r="B743" t="s">
        <s:v>1511</s:v>
      </s:c>
      <s:c r="C743">
        <s:v>3.3</s:v>
      </s:c>
      <s:c r="D743" t="s">
        <s:v>1512</s:v>
      </s:c>
    </s:row>
    <s:row x14ac:dyDescent="0.2" r="744" spans="1:4">
      <s:c r="A744" t="s">
        <s:v>1348</s:v>
      </s:c>
      <s:c r="B744" t="s">
        <s:v>1513</s:v>
      </s:c>
      <s:c r="C744">
        <s:v>4</s:v>
      </s:c>
      <s:c r="D744" t="s">
        <s:v>1514</s:v>
      </s:c>
    </s:row>
    <s:row x14ac:dyDescent="0.2" r="745" spans="1:4">
      <s:c r="A745" t="s">
        <s:v>1348</s:v>
      </s:c>
      <s:c r="B745" t="s">
        <s:v>1515</s:v>
      </s:c>
      <s:c r="C745">
        <s:v>5.3</s:v>
      </s:c>
      <s:c r="D745" t="s">
        <s:v>1516</s:v>
      </s:c>
    </s:row>
    <s:row x14ac:dyDescent="0.2" r="746" spans="1:4">
      <s:c r="A746" t="s">
        <s:v>1348</s:v>
      </s:c>
      <s:c r="B746" t="s">
        <s:v>1517</s:v>
      </s:c>
      <s:c r="C746">
        <s:v>7</s:v>
      </s:c>
      <s:c r="D746" t="s">
        <s:v>1518</s:v>
      </s:c>
    </s:row>
    <s:row x14ac:dyDescent="0.2" r="747" spans="1:4">
      <s:c r="A747" t="s">
        <s:v>1348</s:v>
      </s:c>
      <s:c r="B747" t="s">
        <s:v>1519</s:v>
      </s:c>
      <s:c r="C747">
        <s:v>9</s:v>
      </s:c>
      <s:c r="D747" t="s">
        <s:v>1520</s:v>
      </s:c>
    </s:row>
    <s:row x14ac:dyDescent="0.2" r="748" spans="1:4">
      <s:c r="A748" t="s">
        <s:v>1348</s:v>
      </s:c>
      <s:c r="B748" t="s">
        <s:v>1521</s:v>
      </s:c>
      <s:c r="C748">
        <s:v>10</s:v>
      </s:c>
      <s:c r="D748" t="s">
        <s:v>1522</s:v>
      </s:c>
    </s:row>
    <s:row x14ac:dyDescent="0.2" r="749" spans="1:4">
      <s:c r="A749" t="s">
        <s:v>1348</s:v>
      </s:c>
      <s:c r="B749" t="s">
        <s:v>1523</s:v>
      </s:c>
      <s:c r="C749">
        <s:v>6</s:v>
      </s:c>
      <s:c r="D749" t="s">
        <s:v>1524</s:v>
      </s:c>
    </s:row>
    <s:row x14ac:dyDescent="0.2" r="750" spans="1:4">
      <s:c r="A750" t="s">
        <s:v>1348</s:v>
      </s:c>
      <s:c r="B750" t="s">
        <s:v>1525</s:v>
      </s:c>
      <s:c r="C750">
        <s:v>1.8</s:v>
      </s:c>
      <s:c r="D750" t="s">
        <s:v>1526</s:v>
      </s:c>
    </s:row>
    <s:row x14ac:dyDescent="0.2" r="751" spans="1:4">
      <s:c r="A751" t="s">
        <s:v>1348</s:v>
      </s:c>
      <s:c r="B751" t="s">
        <s:v>1527</s:v>
      </s:c>
      <s:c r="C751">
        <s:v>6.5</s:v>
      </s:c>
      <s:c r="D751" t="s">
        <s:v>1528</s:v>
      </s:c>
    </s:row>
    <s:row x14ac:dyDescent="0.2" r="752" spans="1:4">
      <s:c r="A752" t="s">
        <s:v>1348</s:v>
      </s:c>
      <s:c r="B752" t="s">
        <s:v>1529</s:v>
      </s:c>
      <s:c r="C752">
        <s:v>8</s:v>
      </s:c>
      <s:c r="D752" t="s">
        <s:v>1530</s:v>
      </s:c>
    </s:row>
    <s:row x14ac:dyDescent="0.2" r="753" spans="1:4">
      <s:c r="A753" t="s">
        <s:v>1348</s:v>
      </s:c>
      <s:c r="B753" t="s">
        <s:v>1531</s:v>
      </s:c>
      <s:c r="C753">
        <s:v>10</s:v>
      </s:c>
      <s:c r="D753" t="s">
        <s:v>1532</s:v>
      </s:c>
    </s:row>
    <s:row x14ac:dyDescent="0.2" r="754" spans="1:4">
      <s:c r="A754" t="s">
        <s:v>1348</s:v>
      </s:c>
      <s:c r="B754" t="s">
        <s:v>1533</s:v>
      </s:c>
      <s:c r="C754">
        <s:v>10.3</s:v>
      </s:c>
      <s:c r="D754" t="s">
        <s:v>1534</s:v>
      </s:c>
    </s:row>
    <s:row x14ac:dyDescent="0.2" r="755" spans="1:4">
      <s:c r="A755" t="s">
        <s:v>1348</s:v>
      </s:c>
      <s:c r="B755" t="s">
        <s:v>1535</s:v>
      </s:c>
      <s:c r="C755">
        <s:v>13.8</s:v>
      </s:c>
      <s:c r="D755" t="s">
        <s:v>1536</s:v>
      </s:c>
    </s:row>
    <s:row x14ac:dyDescent="0.2" r="756" spans="1:4">
      <s:c r="A756" t="s">
        <s:v>1348</s:v>
      </s:c>
      <s:c r="B756" t="s">
        <s:v>1537</s:v>
      </s:c>
      <s:c r="C756">
        <s:v>15.5</s:v>
      </s:c>
      <s:c r="D756" t="s">
        <s:v>1538</s:v>
      </s:c>
    </s:row>
    <s:row x14ac:dyDescent="0.2" r="757" spans="1:4">
      <s:c r="A757" t="s">
        <s:v>1348</s:v>
      </s:c>
      <s:c r="B757" t="s">
        <s:v>1539</s:v>
      </s:c>
      <s:c r="C757">
        <s:v>7</s:v>
      </s:c>
      <s:c r="D757" t="s">
        <s:v>1540</s:v>
      </s:c>
    </s:row>
    <s:row x14ac:dyDescent="0.2" r="758" spans="1:4">
      <s:c r="A758" t="s">
        <s:v>1348</s:v>
      </s:c>
      <s:c r="B758" t="s">
        <s:v>1541</s:v>
      </s:c>
      <s:c r="C758">
        <s:v>8</s:v>
      </s:c>
      <s:c r="D758" t="s">
        <s:v>1542</s:v>
      </s:c>
    </s:row>
    <s:row x14ac:dyDescent="0.2" r="759" spans="1:4">
      <s:c r="A759" t="s">
        <s:v>1348</s:v>
      </s:c>
      <s:c r="B759" t="s">
        <s:v>1543</s:v>
      </s:c>
      <s:c r="C759">
        <s:v>8.8000000000000007</s:v>
      </s:c>
      <s:c r="D759" t="s">
        <s:v>1544</s:v>
      </s:c>
    </s:row>
    <s:row x14ac:dyDescent="0.2" r="760" spans="1:4">
      <s:c r="A760" t="s">
        <s:v>1348</s:v>
      </s:c>
      <s:c r="B760" t="s">
        <s:v>1545</s:v>
      </s:c>
      <s:c r="C760">
        <s:v>7.3</s:v>
      </s:c>
      <s:c r="D760" t="s">
        <s:v>1546</s:v>
      </s:c>
    </s:row>
    <s:row x14ac:dyDescent="0.2" r="761" spans="1:4">
      <s:c r="A761" t="s">
        <s:v>1348</s:v>
      </s:c>
      <s:c r="B761" t="s">
        <s:v>1547</s:v>
      </s:c>
      <s:c r="C761">
        <s:v>10.5</s:v>
      </s:c>
      <s:c r="D761" t="s">
        <s:v>1548</s:v>
      </s:c>
    </s:row>
    <s:row x14ac:dyDescent="0.2" r="762" spans="1:4">
      <s:c r="A762" t="s">
        <s:v>1348</s:v>
      </s:c>
      <s:c r="B762" t="s">
        <s:v>1549</s:v>
      </s:c>
      <s:c r="C762">
        <s:v>5.8</s:v>
      </s:c>
      <s:c r="D762" t="s">
        <s:v>1550</s:v>
      </s:c>
    </s:row>
    <s:row x14ac:dyDescent="0.2" r="763" spans="1:4">
      <s:c r="A763" t="s">
        <s:v>1348</s:v>
      </s:c>
      <s:c r="B763" t="s">
        <s:v>1551</s:v>
      </s:c>
      <s:c r="C763">
        <s:v>10.5</s:v>
      </s:c>
      <s:c r="D763" t="s">
        <s:v>1552</s:v>
      </s:c>
    </s:row>
    <s:row x14ac:dyDescent="0.2" r="764" spans="1:4">
      <s:c r="A764" t="s">
        <s:v>1348</s:v>
      </s:c>
      <s:c r="B764" t="s">
        <s:v>1553</s:v>
      </s:c>
      <s:c r="C764">
        <s:v>10.5</s:v>
      </s:c>
      <s:c r="D764" t="s">
        <s:v>1554</s:v>
      </s:c>
    </s:row>
    <s:row x14ac:dyDescent="0.2" r="765" spans="1:4">
      <s:c r="A765" t="s">
        <s:v>1348</s:v>
      </s:c>
      <s:c r="B765" t="s">
        <s:v>1555</s:v>
      </s:c>
      <s:c r="C765">
        <s:v>5</s:v>
      </s:c>
      <s:c r="D765" t="s">
        <s:v>1556</s:v>
      </s:c>
    </s:row>
    <s:row x14ac:dyDescent="0.2" r="766" spans="1:4">
      <s:c r="A766" t="s">
        <s:v>1348</s:v>
      </s:c>
      <s:c r="B766" t="s">
        <s:v>1557</s:v>
      </s:c>
      <s:c r="C766">
        <s:v>4</s:v>
      </s:c>
      <s:c r="D766" t="s">
        <s:v>1558</s:v>
      </s:c>
    </s:row>
    <s:row x14ac:dyDescent="0.2" r="767" spans="1:4">
      <s:c r="A767" t="s">
        <s:v>1348</s:v>
      </s:c>
      <s:c r="B767" t="s">
        <s:v>1559</s:v>
      </s:c>
      <s:c r="C767">
        <s:v>5.5</s:v>
      </s:c>
      <s:c r="D767" t="s">
        <s:v>1560</s:v>
      </s:c>
    </s:row>
    <s:row x14ac:dyDescent="0.2" r="768" spans="1:4">
      <s:c r="A768" t="s">
        <s:v>1348</s:v>
      </s:c>
      <s:c r="B768" t="s">
        <s:v>1561</s:v>
      </s:c>
      <s:c r="C768">
        <s:v>7</s:v>
      </s:c>
      <s:c r="D768" t="s">
        <s:v>1562</s:v>
      </s:c>
    </s:row>
    <s:row x14ac:dyDescent="0.2" r="769" spans="1:4">
      <s:c r="A769" t="s">
        <s:v>1348</s:v>
      </s:c>
      <s:c r="B769" t="s">
        <s:v>1563</s:v>
      </s:c>
      <s:c r="C769">
        <s:v>12.3</s:v>
      </s:c>
      <s:c r="D769" t="s">
        <s:v>1564</s:v>
      </s:c>
    </s:row>
    <s:row x14ac:dyDescent="0.2" r="770" spans="1:4">
      <s:c r="A770" t="s">
        <s:v>1348</s:v>
      </s:c>
      <s:c r="B770" t="s">
        <s:v>1565</s:v>
      </s:c>
      <s:c r="C770">
        <s:v>11.8</s:v>
      </s:c>
      <s:c r="D770" t="s">
        <s:v>1566</s:v>
      </s:c>
    </s:row>
    <s:row x14ac:dyDescent="0.2" r="771" spans="1:4">
      <s:c r="A771" t="s">
        <s:v>1348</s:v>
      </s:c>
      <s:c r="B771" t="s">
        <s:v>1567</s:v>
      </s:c>
      <s:c r="C771">
        <s:v>8.3000000000000007</s:v>
      </s:c>
      <s:c r="D771" t="s">
        <s:v>1568</s:v>
      </s:c>
    </s:row>
    <s:row x14ac:dyDescent="0.2" r="772" spans="1:4">
      <s:c r="A772" t="s">
        <s:v>1348</s:v>
      </s:c>
      <s:c r="B772" t="s">
        <s:v>1569</s:v>
      </s:c>
      <s:c r="C772">
        <s:v>10</s:v>
      </s:c>
      <s:c r="D772" t="s">
        <s:v>1570</s:v>
      </s:c>
    </s:row>
    <s:row x14ac:dyDescent="0.2" r="773" spans="1:4">
      <s:c r="A773" t="s">
        <s:v>1348</s:v>
      </s:c>
      <s:c r="B773" t="s">
        <s:v>1571</s:v>
      </s:c>
      <s:c r="C773">
        <s:v>8.3000000000000007</s:v>
      </s:c>
      <s:c r="D773" t="s">
        <s:v>1572</s:v>
      </s:c>
    </s:row>
    <s:row x14ac:dyDescent="0.2" r="774" spans="1:4">
      <s:c r="A774" t="s">
        <s:v>1348</s:v>
      </s:c>
      <s:c r="B774" t="s">
        <s:v>1573</s:v>
      </s:c>
      <s:c r="C774">
        <s:v>6.3</s:v>
      </s:c>
      <s:c r="D774" t="s">
        <s:v>1574</s:v>
      </s:c>
    </s:row>
    <s:row x14ac:dyDescent="0.2" r="775" spans="1:4">
      <s:c r="A775" t="s">
        <s:v>1348</s:v>
      </s:c>
      <s:c r="B775" t="s">
        <s:v>1575</s:v>
      </s:c>
      <s:c r="C775">
        <s:v>3</s:v>
      </s:c>
      <s:c r="D775" t="s">
        <s:v>1576</s:v>
      </s:c>
    </s:row>
    <s:row x14ac:dyDescent="0.2" r="776" spans="1:4">
      <s:c r="A776" t="s">
        <s:v>1348</s:v>
      </s:c>
      <s:c r="B776" t="s">
        <s:v>1577</s:v>
      </s:c>
      <s:c r="C776">
        <s:v>5</s:v>
      </s:c>
      <s:c r="D776" t="s">
        <s:v>1578</s:v>
      </s:c>
    </s:row>
    <s:row x14ac:dyDescent="0.2" r="777" spans="1:4">
      <s:c r="A777" t="s">
        <s:v>1348</s:v>
      </s:c>
      <s:c r="B777" t="s">
        <s:v>1579</s:v>
      </s:c>
      <s:c r="C777">
        <s:v>6</s:v>
      </s:c>
      <s:c r="D777" t="s">
        <s:v>1580</s:v>
      </s:c>
    </s:row>
    <s:row x14ac:dyDescent="0.2" r="778" spans="1:4">
      <s:c r="A778" t="s">
        <s:v>1348</s:v>
      </s:c>
      <s:c r="B778" t="s">
        <s:v>1581</s:v>
      </s:c>
      <s:c r="C778">
        <s:v>7</s:v>
      </s:c>
      <s:c r="D778" t="s">
        <s:v>1582</s:v>
      </s:c>
    </s:row>
    <s:row x14ac:dyDescent="0.2" r="779" spans="1:4">
      <s:c r="A779" t="s">
        <s:v>1348</s:v>
      </s:c>
      <s:c r="B779" t="s">
        <s:v>1583</s:v>
      </s:c>
      <s:c r="C779">
        <s:v>7.5</s:v>
      </s:c>
      <s:c r="D779" t="s">
        <s:v>1584</s:v>
      </s:c>
    </s:row>
    <s:row x14ac:dyDescent="0.2" r="780" spans="1:4">
      <s:c r="A780" t="s">
        <s:v>1348</s:v>
      </s:c>
      <s:c r="B780" t="s">
        <s:v>1585</s:v>
      </s:c>
      <s:c r="C780">
        <s:v>9.8000000000000007</s:v>
      </s:c>
      <s:c r="D780" t="s">
        <s:v>1586</s:v>
      </s:c>
    </s:row>
    <s:row x14ac:dyDescent="0.2" r="781" spans="1:4">
      <s:c r="A781" t="s">
        <s:v>1348</s:v>
      </s:c>
      <s:c r="B781" t="s">
        <s:v>1587</s:v>
      </s:c>
      <s:c r="C781">
        <s:v>12.3</s:v>
      </s:c>
      <s:c r="D781" t="s">
        <s:v>1588</s:v>
      </s:c>
    </s:row>
    <s:row x14ac:dyDescent="0.2" r="782" spans="1:4">
      <s:c r="A782" t="s">
        <s:v>1348</s:v>
      </s:c>
      <s:c r="B782" t="s">
        <s:v>1589</s:v>
      </s:c>
      <s:c r="C782">
        <s:v>15.5</s:v>
      </s:c>
      <s:c r="D782" t="s">
        <s:v>1590</s:v>
      </s:c>
    </s:row>
    <s:row x14ac:dyDescent="0.2" r="783" spans="1:4">
      <s:c r="A783" t="s">
        <s:v>1348</s:v>
      </s:c>
      <s:c r="B783" t="s">
        <s:v>1591</s:v>
      </s:c>
      <s:c r="C783">
        <s:v>6.8</s:v>
      </s:c>
      <s:c r="D783" t="s">
        <s:v>1592</s:v>
      </s:c>
    </s:row>
    <s:row x14ac:dyDescent="0.2" r="784" spans="1:4">
      <s:c r="A784" t="s">
        <s:v>1348</s:v>
      </s:c>
      <s:c r="B784" t="s">
        <s:v>1593</s:v>
      </s:c>
      <s:c r="C784">
        <s:v>8.3000000000000007</s:v>
      </s:c>
      <s:c r="D784" t="s">
        <s:v>1594</s:v>
      </s:c>
    </s:row>
    <s:row x14ac:dyDescent="0.2" r="785" spans="1:4">
      <s:c r="A785" t="s">
        <s:v>1348</s:v>
      </s:c>
      <s:c r="B785" t="s">
        <s:v>1595</s:v>
      </s:c>
      <s:c r="C785">
        <s:v>10.5</s:v>
      </s:c>
      <s:c r="D785" t="s">
        <s:v>1596</s:v>
      </s:c>
    </s:row>
    <s:row x14ac:dyDescent="0.2" r="786" spans="1:4">
      <s:c r="A786" t="s">
        <s:v>1348</s:v>
      </s:c>
      <s:c r="B786" t="s">
        <s:v>1597</s:v>
      </s:c>
      <s:c r="C786">
        <s:v>3.5</s:v>
      </s:c>
      <s:c r="D786" t="s">
        <s:v>1598</s:v>
      </s:c>
    </s:row>
    <s:row x14ac:dyDescent="0.2" r="787" spans="1:4">
      <s:c r="A787" t="s">
        <s:v>1348</s:v>
      </s:c>
      <s:c r="B787" t="s">
        <s:v>1599</s:v>
      </s:c>
      <s:c r="C787">
        <s:v>9.5</s:v>
      </s:c>
      <s:c r="D787" t="s">
        <s:v>1600</s:v>
      </s:c>
    </s:row>
    <s:row x14ac:dyDescent="0.2" r="788" spans="1:4">
      <s:c r="A788" t="s">
        <s:v>1348</s:v>
      </s:c>
      <s:c r="B788" t="s">
        <s:v>1601</s:v>
      </s:c>
      <s:c r="C788">
        <s:v>7</s:v>
      </s:c>
      <s:c r="D788" t="s">
        <s:v>1602</s:v>
      </s:c>
    </s:row>
    <s:row x14ac:dyDescent="0.2" r="789" spans="1:4">
      <s:c r="A789" t="s">
        <s:v>1348</s:v>
      </s:c>
      <s:c r="B789" t="s">
        <s:v>1603</s:v>
      </s:c>
      <s:c r="C789">
        <s:v>3.5</s:v>
      </s:c>
      <s:c r="D789" t="s">
        <s:v>1604</s:v>
      </s:c>
    </s:row>
    <s:row x14ac:dyDescent="0.2" r="790" spans="1:4">
      <s:c r="A790" t="s">
        <s:v>1348</s:v>
      </s:c>
      <s:c r="B790" t="s">
        <s:v>1605</s:v>
      </s:c>
      <s:c r="C790">
        <s:v>5</s:v>
      </s:c>
      <s:c r="D790" t="s">
        <s:v>1606</s:v>
      </s:c>
    </s:row>
    <s:row x14ac:dyDescent="0.2" r="791" spans="1:4">
      <s:c r="A791" t="s">
        <s:v>1348</s:v>
      </s:c>
      <s:c r="B791" t="s">
        <s:v>1607</s:v>
      </s:c>
      <s:c r="C791">
        <s:v>4</s:v>
      </s:c>
      <s:c r="D791" t="s">
        <s:v>1608</s:v>
      </s:c>
    </s:row>
    <s:row x14ac:dyDescent="0.2" r="792" spans="1:4">
      <s:c r="A792" t="s">
        <s:v>1348</s:v>
      </s:c>
      <s:c r="B792" t="s">
        <s:v>1609</s:v>
      </s:c>
      <s:c r="C792">
        <s:v>4</s:v>
      </s:c>
      <s:c r="D792" t="s">
        <s:v>1610</s:v>
      </s:c>
    </s:row>
    <s:row x14ac:dyDescent="0.2" r="793" spans="1:4">
      <s:c r="A793" t="s">
        <s:v>1348</s:v>
      </s:c>
      <s:c r="B793" t="s">
        <s:v>1611</s:v>
      </s:c>
      <s:c r="C793">
        <s:v>6</s:v>
      </s:c>
      <s:c r="D793" t="s">
        <s:v>1612</s:v>
      </s:c>
    </s:row>
    <s:row x14ac:dyDescent="0.2" r="794" spans="1:4">
      <s:c r="A794" t="s">
        <s:v>1348</s:v>
      </s:c>
      <s:c r="B794" t="s">
        <s:v>1613</s:v>
      </s:c>
      <s:c r="C794">
        <s:v>3.3</s:v>
      </s:c>
      <s:c r="D794" t="s">
        <s:v>1614</s:v>
      </s:c>
    </s:row>
    <s:row x14ac:dyDescent="0.2" r="795" spans="1:4">
      <s:c r="A795" t="s">
        <s:v>1348</s:v>
      </s:c>
      <s:c r="B795" t="s">
        <s:v>1615</s:v>
      </s:c>
      <s:c r="C795">
        <s:v>12</s:v>
      </s:c>
      <s:c r="D795" t="s">
        <s:v>1616</s:v>
      </s:c>
    </s:row>
    <s:row x14ac:dyDescent="0.2" r="796" spans="1:4">
      <s:c r="A796" t="s">
        <s:v>1348</s:v>
      </s:c>
      <s:c r="B796" t="s">
        <s:v>1617</s:v>
      </s:c>
      <s:c r="C796">
        <s:v>7.3</s:v>
      </s:c>
      <s:c r="D796" t="s">
        <s:v>1618</s:v>
      </s:c>
    </s:row>
    <s:row x14ac:dyDescent="0.2" r="797" spans="1:4">
      <s:c r="A797" t="s">
        <s:v>1348</s:v>
      </s:c>
      <s:c r="B797" t="s">
        <s:v>1619</s:v>
      </s:c>
      <s:c r="C797">
        <s:v>4</s:v>
      </s:c>
      <s:c r="D797" t="s">
        <s:v>1620</s:v>
      </s:c>
    </s:row>
    <s:row x14ac:dyDescent="0.2" r="798" spans="1:4">
      <s:c r="A798" t="s">
        <s:v>1348</s:v>
      </s:c>
      <s:c r="B798" t="s">
        <s:v>1621</s:v>
      </s:c>
      <s:c r="C798">
        <s:v>3.3</s:v>
      </s:c>
      <s:c r="D798" t="s">
        <s:v>1622</s:v>
      </s:c>
    </s:row>
    <s:row x14ac:dyDescent="0.2" r="799" spans="1:4">
      <s:c r="A799" t="s">
        <s:v>1348</s:v>
      </s:c>
      <s:c r="B799" t="s">
        <s:v>1623</s:v>
      </s:c>
      <s:c r="C799">
        <s:v>1.5</s:v>
      </s:c>
      <s:c r="D799" t="s">
        <s:v>1624</s:v>
      </s:c>
    </s:row>
    <s:row x14ac:dyDescent="0.2" r="800" spans="1:4">
      <s:c r="A800" t="s">
        <s:v>1348</s:v>
      </s:c>
      <s:c r="B800" t="s">
        <s:v>1625</s:v>
      </s:c>
      <s:c r="C800">
        <s:v>6</s:v>
      </s:c>
      <s:c r="D800" t="s">
        <s:v>1626</s:v>
      </s:c>
    </s:row>
    <s:row x14ac:dyDescent="0.2" r="801" spans="1:4">
      <s:c r="A801" t="s">
        <s:v>1348</s:v>
      </s:c>
      <s:c r="B801" t="s">
        <s:v>1627</s:v>
      </s:c>
      <s:c r="C801">
        <s:v>6.8</s:v>
      </s:c>
      <s:c r="D801" t="s">
        <s:v>1628</s:v>
      </s:c>
    </s:row>
    <s:row x14ac:dyDescent="0.2" r="802" spans="1:4">
      <s:c r="A802" t="s">
        <s:v>1348</s:v>
      </s:c>
      <s:c r="B802" t="s">
        <s:v>1629</s:v>
      </s:c>
      <s:c r="C802">
        <s:v>8</s:v>
      </s:c>
      <s:c r="D802" t="s">
        <s:v>1630</s:v>
      </s:c>
    </s:row>
    <s:row x14ac:dyDescent="0.2" r="803" spans="1:4">
      <s:c r="A803" t="s">
        <s:v>1348</s:v>
      </s:c>
      <s:c r="B803" t="s">
        <s:v>1631</s:v>
      </s:c>
      <s:c r="C803">
        <s:v>6</s:v>
      </s:c>
      <s:c r="D803" t="s">
        <s:v>1632</s:v>
      </s:c>
    </s:row>
    <s:row x14ac:dyDescent="0.2" r="804" spans="1:4">
      <s:c r="A804" t="s">
        <s:v>1348</s:v>
      </s:c>
      <s:c r="B804" t="s">
        <s:v>1633</s:v>
      </s:c>
      <s:c r="C804">
        <s:v>4.5</s:v>
      </s:c>
      <s:c r="D804" t="s">
        <s:v>1634</s:v>
      </s:c>
    </s:row>
    <s:row x14ac:dyDescent="0.2" r="805" spans="1:4">
      <s:c r="A805" t="s">
        <s:v>1348</s:v>
      </s:c>
      <s:c r="B805" t="s">
        <s:v>1635</s:v>
      </s:c>
      <s:c r="C805">
        <s:v>8</s:v>
      </s:c>
      <s:c r="D805" t="s">
        <s:v>1636</s:v>
      </s:c>
    </s:row>
    <s:row x14ac:dyDescent="0.2" r="806" spans="1:4">
      <s:c r="A806" t="s">
        <s:v>1348</s:v>
      </s:c>
      <s:c r="B806" t="s">
        <s:v>1637</s:v>
      </s:c>
      <s:c r="C806">
        <s:v>5</s:v>
      </s:c>
      <s:c r="D806" t="s">
        <s:v>1638</s:v>
      </s:c>
    </s:row>
    <s:row x14ac:dyDescent="0.2" r="807" spans="1:4">
      <s:c r="A807" t="s">
        <s:v>1348</s:v>
      </s:c>
      <s:c r="B807" t="s">
        <s:v>1639</s:v>
      </s:c>
      <s:c r="C807">
        <s:v>6.3</s:v>
      </s:c>
      <s:c r="D807" t="s">
        <s:v>1640</s:v>
      </s:c>
    </s:row>
    <s:row x14ac:dyDescent="0.2" r="808" spans="1:4">
      <s:c r="A808" t="s">
        <s:v>1348</s:v>
      </s:c>
      <s:c r="B808" t="s">
        <s:v>1641</s:v>
      </s:c>
      <s:c r="C808">
        <s:v>10.3</s:v>
      </s:c>
      <s:c r="D808" t="s">
        <s:v>1642</s:v>
      </s:c>
    </s:row>
    <s:row x14ac:dyDescent="0.2" r="809" spans="1:4">
      <s:c r="A809" t="s">
        <s:v>1348</s:v>
      </s:c>
      <s:c r="B809" t="s">
        <s:v>1643</s:v>
      </s:c>
      <s:c r="C809">
        <s:v>4</s:v>
      </s:c>
      <s:c r="D809" t="s">
        <s:v>1644</s:v>
      </s:c>
    </s:row>
    <s:row x14ac:dyDescent="0.2" r="810" spans="1:4">
      <s:c r="A810" t="s">
        <s:v>1348</s:v>
      </s:c>
      <s:c r="B810" t="s">
        <s:v>1645</s:v>
      </s:c>
      <s:c r="C810">
        <s:v>6</s:v>
      </s:c>
      <s:c r="D810" t="s">
        <s:v>1646</s:v>
      </s:c>
    </s:row>
    <s:row x14ac:dyDescent="0.2" r="811" spans="1:4">
      <s:c r="A811" t="s">
        <s:v>1348</s:v>
      </s:c>
      <s:c r="B811" t="s">
        <s:v>1647</s:v>
      </s:c>
      <s:c r="C811">
        <s:v>3</s:v>
      </s:c>
      <s:c r="D811" t="s">
        <s:v>1648</s:v>
      </s:c>
    </s:row>
    <s:row x14ac:dyDescent="0.2" r="812" spans="1:4">
      <s:c r="A812" t="s">
        <s:v>1348</s:v>
      </s:c>
      <s:c r="B812" t="s">
        <s:v>1649</s:v>
      </s:c>
      <s:c r="C812">
        <s:v>8</s:v>
      </s:c>
      <s:c r="D812" t="s">
        <s:v>1650</s:v>
      </s:c>
    </s:row>
    <s:row x14ac:dyDescent="0.2" r="813" spans="1:4">
      <s:c r="A813" t="s">
        <s:v>1348</s:v>
      </s:c>
      <s:c r="B813" t="s">
        <s:v>1651</s:v>
      </s:c>
      <s:c r="C813">
        <s:v>6</s:v>
      </s:c>
      <s:c r="D813" t="s">
        <s:v>1652</s:v>
      </s:c>
    </s:row>
    <s:row x14ac:dyDescent="0.2" r="814" spans="1:4">
      <s:c r="A814" t="s">
        <s:v>1348</s:v>
      </s:c>
      <s:c r="B814" t="s">
        <s:v>1653</s:v>
      </s:c>
      <s:c r="C814">
        <s:v>7</s:v>
      </s:c>
      <s:c r="D814" t="s">
        <s:v>1654</s:v>
      </s:c>
    </s:row>
    <s:row x14ac:dyDescent="0.2" r="815" spans="1:4">
      <s:c r="A815" t="s">
        <s:v>1348</s:v>
      </s:c>
      <s:c r="B815" t="s">
        <s:v>1655</s:v>
      </s:c>
      <s:c r="C815">
        <s:v>4</s:v>
      </s:c>
      <s:c r="D815" t="s">
        <s:v>1656</s:v>
      </s:c>
    </s:row>
    <s:row x14ac:dyDescent="0.2" r="816" spans="1:4">
      <s:c r="A816" t="s">
        <s:v>1348</s:v>
      </s:c>
      <s:c r="B816" t="s">
        <s:v>1657</s:v>
      </s:c>
      <s:c r="C816">
        <s:v>6</s:v>
      </s:c>
      <s:c r="D816" t="s">
        <s:v>1658</s:v>
      </s:c>
    </s:row>
    <s:row x14ac:dyDescent="0.2" r="817" spans="1:4">
      <s:c r="A817" t="s">
        <s:v>1348</s:v>
      </s:c>
      <s:c r="B817" t="s">
        <s:v>1659</s:v>
      </s:c>
      <s:c r="C817">
        <s:v>10</s:v>
      </s:c>
      <s:c r="D817" t="s">
        <s:v>1660</s:v>
      </s:c>
    </s:row>
    <s:row x14ac:dyDescent="0.2" r="818" spans="1:4">
      <s:c r="A818" t="s">
        <s:v>1661</s:v>
      </s:c>
      <s:c r="B818" t="s">
        <s:v>1662</s:v>
      </s:c>
      <s:c r="C818">
        <s:v>6.8</s:v>
      </s:c>
      <s:c r="D818" t="s">
        <s:v>1663</s:v>
      </s:c>
    </s:row>
    <s:row x14ac:dyDescent="0.2" r="819" spans="1:4">
      <s:c r="A819" t="s">
        <s:v>1661</s:v>
      </s:c>
      <s:c r="B819" t="s">
        <s:v>1664</s:v>
      </s:c>
      <s:c r="C819">
        <s:v>9.3000000000000007</s:v>
      </s:c>
      <s:c r="D819" t="s">
        <s:v>1665</s:v>
      </s:c>
    </s:row>
    <s:row x14ac:dyDescent="0.2" r="820" spans="1:4">
      <s:c r="A820" t="s">
        <s:v>1661</s:v>
      </s:c>
      <s:c r="B820" t="s">
        <s:v>1666</s:v>
      </s:c>
      <s:c r="C820">
        <s:v>6.8</s:v>
      </s:c>
      <s:c r="D820" t="s">
        <s:v>1667</s:v>
      </s:c>
    </s:row>
    <s:row x14ac:dyDescent="0.2" r="821" spans="1:4">
      <s:c r="A821" t="s">
        <s:v>1661</s:v>
      </s:c>
      <s:c r="B821" t="s">
        <s:v>1668</s:v>
      </s:c>
      <s:c r="C821">
        <s:v>2</s:v>
      </s:c>
      <s:c r="D821" t="s">
        <s:v>1669</s:v>
      </s:c>
    </s:row>
    <s:row x14ac:dyDescent="0.2" r="822" spans="1:4">
      <s:c r="A822" t="s">
        <s:v>1661</s:v>
      </s:c>
      <s:c r="B822" t="s">
        <s:v>1670</s:v>
      </s:c>
      <s:c r="C822">
        <s:v>1.3</s:v>
      </s:c>
      <s:c r="D822" t="s">
        <s:v>1671</s:v>
      </s:c>
    </s:row>
    <s:row x14ac:dyDescent="0.2" r="823" spans="1:4">
      <s:c r="A823" t="s">
        <s:v>1661</s:v>
      </s:c>
      <s:c r="B823" t="s">
        <s:v>1672</s:v>
      </s:c>
      <s:c r="C823">
        <s:v>1.3</s:v>
      </s:c>
      <s:c r="D823" t="s">
        <s:v>1673</s:v>
      </s:c>
    </s:row>
    <s:row x14ac:dyDescent="0.2" r="824" spans="1:4">
      <s:c r="A824" t="s">
        <s:v>1661</s:v>
      </s:c>
      <s:c r="B824" t="s">
        <s:v>1674</s:v>
      </s:c>
      <s:c r="C824">
        <s:v>1.8</s:v>
      </s:c>
      <s:c r="D824" t="s">
        <s:v>1675</s:v>
      </s:c>
    </s:row>
    <s:row x14ac:dyDescent="0.2" r="825" spans="1:4">
      <s:c r="A825" t="s">
        <s:v>1661</s:v>
      </s:c>
      <s:c r="B825" t="s">
        <s:v>1676</s:v>
      </s:c>
      <s:c r="C825">
        <s:v>2.8</s:v>
      </s:c>
      <s:c r="D825" t="s">
        <s:v>1677</s:v>
      </s:c>
    </s:row>
    <s:row x14ac:dyDescent="0.2" r="826" spans="1:4">
      <s:c r="A826" t="s">
        <s:v>1661</s:v>
      </s:c>
      <s:c r="B826" t="s">
        <s:v>1678</s:v>
      </s:c>
      <s:c r="C826">
        <s:v>6.3</s:v>
      </s:c>
      <s:c r="D826" t="s">
        <s:v>1679</s:v>
      </s:c>
    </s:row>
    <s:row x14ac:dyDescent="0.2" r="827" spans="1:4">
      <s:c r="A827" t="s">
        <s:v>1661</s:v>
      </s:c>
      <s:c r="B827" t="s">
        <s:v>1680</s:v>
      </s:c>
      <s:c r="C827">
        <s:v>6</s:v>
      </s:c>
      <s:c r="D827" t="s">
        <s:v>1681</s:v>
      </s:c>
    </s:row>
    <s:row x14ac:dyDescent="0.2" r="828" spans="1:4">
      <s:c r="A828" t="s">
        <s:v>1661</s:v>
      </s:c>
      <s:c r="B828" t="s">
        <s:v>1682</s:v>
      </s:c>
      <s:c r="C828">
        <s:v>2.5</s:v>
      </s:c>
      <s:c r="D828" t="s">
        <s:v>1683</s:v>
      </s:c>
    </s:row>
    <s:row x14ac:dyDescent="0.2" r="829" spans="1:4">
      <s:c r="A829" t="s">
        <s:v>1661</s:v>
      </s:c>
      <s:c r="B829" t="s">
        <s:v>1684</s:v>
      </s:c>
      <s:c r="C829">
        <s:v>3.5</s:v>
      </s:c>
      <s:c r="D829" t="s">
        <s:v>1685</s:v>
      </s:c>
    </s:row>
    <s:row x14ac:dyDescent="0.2" r="830" spans="1:4">
      <s:c r="A830" t="s">
        <s:v>1686</s:v>
      </s:c>
      <s:c r="B830" t="s">
        <s:v>1687</s:v>
      </s:c>
      <s:c r="C830">
        <s:v>7</s:v>
      </s:c>
      <s:c r="D830" t="s">
        <s:v>1688</s:v>
      </s:c>
    </s:row>
    <s:row x14ac:dyDescent="0.2" r="831" spans="1:4">
      <s:c r="A831" t="s">
        <s:v>1686</s:v>
      </s:c>
      <s:c r="B831" t="s">
        <s:v>1689</s:v>
      </s:c>
      <s:c r="C831">
        <s:v>3.5</s:v>
      </s:c>
      <s:c r="D831" t="s">
        <s:v>1690</s:v>
      </s:c>
    </s:row>
    <s:row x14ac:dyDescent="0.2" r="832" spans="1:4">
      <s:c r="A832" t="s">
        <s:v>1686</s:v>
      </s:c>
      <s:c r="B832" t="s">
        <s:v>1691</s:v>
      </s:c>
      <s:c r="C832">
        <s:v>7.8</s:v>
      </s:c>
      <s:c r="D832" t="s">
        <s:v>1692</s:v>
      </s:c>
    </s:row>
    <s:row x14ac:dyDescent="0.2" r="833" spans="1:4">
      <s:c r="A833" t="s">
        <s:v>1686</s:v>
      </s:c>
      <s:c r="B833" t="s">
        <s:v>1693</s:v>
      </s:c>
      <s:c r="C833">
        <s:v>4</s:v>
      </s:c>
      <s:c r="D833" t="s">
        <s:v>1694</s:v>
      </s:c>
    </s:row>
    <s:row x14ac:dyDescent="0.2" r="834" spans="1:4">
      <s:c r="A834" t="s">
        <s:v>1686</s:v>
      </s:c>
      <s:c r="B834" t="s">
        <s:v>1695</s:v>
      </s:c>
      <s:c r="C834">
        <s:v>4.5</s:v>
      </s:c>
      <s:c r="D834" t="s">
        <s:v>1696</s:v>
      </s:c>
    </s:row>
    <s:row x14ac:dyDescent="0.2" r="835" spans="1:4">
      <s:c r="A835" t="s">
        <s:v>1686</s:v>
      </s:c>
      <s:c r="B835" t="s">
        <s:v>1697</s:v>
      </s:c>
      <s:c r="C835">
        <s:v>6.5</s:v>
      </s:c>
      <s:c r="D835" t="s">
        <s:v>1698</s:v>
      </s:c>
    </s:row>
    <s:row x14ac:dyDescent="0.2" r="836" spans="1:4">
      <s:c r="A836" t="s">
        <s:v>1686</s:v>
      </s:c>
      <s:c r="B836" t="s">
        <s:v>1699</s:v>
      </s:c>
      <s:c r="C836">
        <s:v>2.2999999999999998</s:v>
      </s:c>
      <s:c r="D836" t="s">
        <s:v>1700</s:v>
      </s:c>
    </s:row>
    <s:row x14ac:dyDescent="0.2" r="837" spans="1:4">
      <s:c r="A837" t="s">
        <s:v>1686</s:v>
      </s:c>
      <s:c r="B837" t="s">
        <s:v>1701</s:v>
      </s:c>
      <s:c r="C837">
        <s:v>8.3000000000000007</s:v>
      </s:c>
      <s:c r="D837" t="s">
        <s:v>1702</s:v>
      </s:c>
    </s:row>
    <s:row x14ac:dyDescent="0.2" r="838" spans="1:4">
      <s:c r="A838" t="s">
        <s:v>1686</s:v>
      </s:c>
      <s:c r="B838" t="s">
        <s:v>1703</s:v>
      </s:c>
      <s:c r="C838">
        <s:v>5.5</s:v>
      </s:c>
      <s:c r="D838" t="s">
        <s:v>1704</s:v>
      </s:c>
    </s:row>
    <s:row x14ac:dyDescent="0.2" r="839" spans="1:4">
      <s:c r="A839" t="s">
        <s:v>1686</s:v>
      </s:c>
      <s:c r="B839" t="s">
        <s:v>1705</s:v>
      </s:c>
      <s:c r="C839">
        <s:v>6</s:v>
      </s:c>
      <s:c r="D839" t="s">
        <s:v>1706</s:v>
      </s:c>
    </s:row>
    <s:row x14ac:dyDescent="0.2" r="840" spans="1:4">
      <s:c r="A840" t="s">
        <s:v>1686</s:v>
      </s:c>
      <s:c r="B840" t="s">
        <s:v>1707</s:v>
      </s:c>
      <s:c r="C840">
        <s:v>8</s:v>
      </s:c>
      <s:c r="D840" t="s">
        <s:v>1708</s:v>
      </s:c>
    </s:row>
    <s:row x14ac:dyDescent="0.2" r="841" spans="1:4">
      <s:c r="A841" t="s">
        <s:v>1686</s:v>
      </s:c>
      <s:c r="B841" t="s">
        <s:v>1709</s:v>
      </s:c>
      <s:c r="C841">
        <s:v>10</s:v>
      </s:c>
      <s:c r="D841" t="s">
        <s:v>1710</s:v>
      </s:c>
    </s:row>
    <s:row x14ac:dyDescent="0.2" r="842" spans="1:4">
      <s:c r="A842" t="s">
        <s:v>1686</s:v>
      </s:c>
      <s:c r="B842" t="s">
        <s:v>1711</s:v>
      </s:c>
      <s:c r="C842">
        <s:v>12</s:v>
      </s:c>
      <s:c r="D842" t="s">
        <s:v>1712</s:v>
      </s:c>
    </s:row>
    <s:row x14ac:dyDescent="0.2" r="843" spans="1:4">
      <s:c r="A843" t="s">
        <s:v>1686</s:v>
      </s:c>
      <s:c r="B843" t="s">
        <s:v>1713</s:v>
      </s:c>
      <s:c r="C843">
        <s:v>3.8</s:v>
      </s:c>
      <s:c r="D843" t="s">
        <s:v>1714</s:v>
      </s:c>
    </s:row>
    <s:row x14ac:dyDescent="0.2" r="844" spans="1:4">
      <s:c r="A844" t="s">
        <s:v>1686</s:v>
      </s:c>
      <s:c r="B844" t="s">
        <s:v>1715</s:v>
      </s:c>
      <s:c r="C844">
        <s:v>5</s:v>
      </s:c>
      <s:c r="D844" t="s">
        <s:v>1716</s:v>
      </s:c>
    </s:row>
    <s:row x14ac:dyDescent="0.2" r="845" spans="1:4">
      <s:c r="A845" t="s">
        <s:v>1686</s:v>
      </s:c>
      <s:c r="B845" t="s">
        <s:v>1717</s:v>
      </s:c>
      <s:c r="C845">
        <s:v>3.8</s:v>
      </s:c>
      <s:c r="D845" t="s">
        <s:v>1718</s:v>
      </s:c>
    </s:row>
    <s:row x14ac:dyDescent="0.2" r="846" spans="1:4">
      <s:c r="A846" t="s">
        <s:v>1686</s:v>
      </s:c>
      <s:c r="B846" t="s">
        <s:v>1719</s:v>
      </s:c>
      <s:c r="C846">
        <s:v>5.3</s:v>
      </s:c>
      <s:c r="D846" t="s">
        <s:v>1720</s:v>
      </s:c>
    </s:row>
    <s:row x14ac:dyDescent="0.2" r="847" spans="1:4">
      <s:c r="A847" t="s">
        <s:v>1686</s:v>
      </s:c>
      <s:c r="B847" t="s">
        <s:v>1721</s:v>
      </s:c>
      <s:c r="C847">
        <s:v>7</s:v>
      </s:c>
      <s:c r="D847" t="s">
        <s:v>1722</s:v>
      </s:c>
    </s:row>
    <s:row x14ac:dyDescent="0.2" r="848" spans="1:4">
      <s:c r="A848" t="s">
        <s:v>1686</s:v>
      </s:c>
      <s:c r="B848" t="s">
        <s:v>1723</s:v>
      </s:c>
      <s:c r="C848">
        <s:v>8.8000000000000007</s:v>
      </s:c>
      <s:c r="D848" t="s">
        <s:v>1724</s:v>
      </s:c>
    </s:row>
    <s:row x14ac:dyDescent="0.2" r="849" spans="1:4">
      <s:c r="A849" t="s">
        <s:v>1686</s:v>
      </s:c>
      <s:c r="B849" t="s">
        <s:v>1725</s:v>
      </s:c>
      <s:c r="C849">
        <s:v>10</s:v>
      </s:c>
      <s:c r="D849" t="s">
        <s:v>1726</s:v>
      </s:c>
    </s:row>
    <s:row x14ac:dyDescent="0.2" r="850" spans="1:4">
      <s:c r="A850" t="s">
        <s:v>1686</s:v>
      </s:c>
      <s:c r="B850" t="s">
        <s:v>1727</s:v>
      </s:c>
      <s:c r="C850">
        <s:v>8.5</s:v>
      </s:c>
      <s:c r="D850" t="s">
        <s:v>1728</s:v>
      </s:c>
    </s:row>
    <s:row x14ac:dyDescent="0.2" r="851" spans="1:4">
      <s:c r="A851" t="s">
        <s:v>1686</s:v>
      </s:c>
      <s:c r="B851" t="s">
        <s:v>1729</s:v>
      </s:c>
      <s:c r="C851">
        <s:v>15.5</s:v>
      </s:c>
      <s:c r="D851" t="s">
        <s:v>1730</s:v>
      </s:c>
    </s:row>
    <s:row x14ac:dyDescent="0.2" r="852" spans="1:4">
      <s:c r="A852" t="s">
        <s:v>1686</s:v>
      </s:c>
      <s:c r="B852" t="s">
        <s:v>1731</s:v>
      </s:c>
      <s:c r="C852">
        <s:v>16.3</s:v>
      </s:c>
      <s:c r="D852" t="s">
        <s:v>1732</s:v>
      </s:c>
    </s:row>
    <s:row x14ac:dyDescent="0.2" r="853" spans="1:4">
      <s:c r="A853" t="s">
        <s:v>1686</s:v>
      </s:c>
      <s:c r="B853" t="s">
        <s:v>1733</s:v>
      </s:c>
      <s:c r="C853">
        <s:v>6.5</s:v>
      </s:c>
      <s:c r="D853" t="s">
        <s:v>1734</s:v>
      </s:c>
    </s:row>
    <s:row x14ac:dyDescent="0.2" r="854" spans="1:4">
      <s:c r="A854" t="s">
        <s:v>1686</s:v>
      </s:c>
      <s:c r="B854" t="s">
        <s:v>1735</s:v>
      </s:c>
      <s:c r="C854">
        <s:v>7.5</s:v>
      </s:c>
      <s:c r="D854" t="s">
        <s:v>1736</s:v>
      </s:c>
    </s:row>
    <s:row x14ac:dyDescent="0.2" r="855" spans="1:4">
      <s:c r="A855" t="s">
        <s:v>1686</s:v>
      </s:c>
      <s:c r="B855" t="s">
        <s:v>1737</s:v>
      </s:c>
      <s:c r="C855">
        <s:v>10</s:v>
      </s:c>
      <s:c r="D855" t="s">
        <s:v>1738</s:v>
      </s:c>
    </s:row>
    <s:row x14ac:dyDescent="0.2" r="856" spans="1:4">
      <s:c r="A856" t="s">
        <s:v>1686</s:v>
      </s:c>
      <s:c r="B856" t="s">
        <s:v>1739</s:v>
      </s:c>
      <s:c r="C856">
        <s:v>3.5</s:v>
      </s:c>
      <s:c r="D856" t="s">
        <s:v>1740</s:v>
      </s:c>
    </s:row>
    <s:row x14ac:dyDescent="0.2" r="857" spans="1:4">
      <s:c r="A857" t="s">
        <s:v>1686</s:v>
      </s:c>
      <s:c r="B857" t="s">
        <s:v>1741</s:v>
      </s:c>
      <s:c r="C857">
        <s:v>4.5</s:v>
      </s:c>
      <s:c r="D857" t="s">
        <s:v>1742</s:v>
      </s:c>
    </s:row>
    <s:row x14ac:dyDescent="0.2" r="858" spans="1:4">
      <s:c r="A858" t="s">
        <s:v>1686</s:v>
      </s:c>
      <s:c r="B858" t="s">
        <s:v>1743</s:v>
      </s:c>
      <s:c r="C858">
        <s:v>6</s:v>
      </s:c>
      <s:c r="D858" t="s">
        <s:v>1744</s:v>
      </s:c>
    </s:row>
    <s:row x14ac:dyDescent="0.2" r="859" spans="1:4">
      <s:c r="A859" t="s">
        <s:v>1686</s:v>
      </s:c>
      <s:c r="B859" t="s">
        <s:v>1745</s:v>
      </s:c>
      <s:c r="C859">
        <s:v>3.8</s:v>
      </s:c>
      <s:c r="D859" t="s">
        <s:v>1746</s:v>
      </s:c>
    </s:row>
    <s:row x14ac:dyDescent="0.2" r="860" spans="1:4">
      <s:c r="A860" t="s">
        <s:v>1686</s:v>
      </s:c>
      <s:c r="B860" t="s">
        <s:v>1747</s:v>
      </s:c>
      <s:c r="C860">
        <s:v>5.3</s:v>
      </s:c>
      <s:c r="D860" t="s">
        <s:v>1748</s:v>
      </s:c>
    </s:row>
    <s:row x14ac:dyDescent="0.2" r="861" spans="1:4">
      <s:c r="A861" t="s">
        <s:v>1686</s:v>
      </s:c>
      <s:c r="B861" t="s">
        <s:v>1749</s:v>
      </s:c>
      <s:c r="C861">
        <s:v>2.5</s:v>
      </s:c>
      <s:c r="D861" t="s">
        <s:v>1750</s:v>
      </s:c>
    </s:row>
    <s:row x14ac:dyDescent="0.2" r="862" spans="1:4">
      <s:c r="A862" t="s">
        <s:v>1686</s:v>
      </s:c>
      <s:c r="B862" t="s">
        <s:v>1751</s:v>
      </s:c>
      <s:c r="C862">
        <s:v>4.5</s:v>
      </s:c>
      <s:c r="D862" t="s">
        <s:v>1752</s:v>
      </s:c>
    </s:row>
    <s:row x14ac:dyDescent="0.2" r="863" spans="1:4">
      <s:c r="A863" t="s">
        <s:v>1686</s:v>
      </s:c>
      <s:c r="B863" t="s">
        <s:v>1753</s:v>
      </s:c>
      <s:c r="C863">
        <s:v>8</s:v>
      </s:c>
      <s:c r="D863" t="s">
        <s:v>1754</s:v>
      </s:c>
    </s:row>
    <s:row x14ac:dyDescent="0.2" r="864" spans="1:4">
      <s:c r="A864" t="s">
        <s:v>1686</s:v>
      </s:c>
      <s:c r="B864" t="s">
        <s:v>1755</s:v>
      </s:c>
      <s:c r="C864">
        <s:v>3.8</s:v>
      </s:c>
      <s:c r="D864" t="s">
        <s:v>1756</s:v>
      </s:c>
    </s:row>
    <s:row x14ac:dyDescent="0.2" r="865" spans="1:4">
      <s:c r="A865" t="s">
        <s:v>1686</s:v>
      </s:c>
      <s:c r="B865" t="s">
        <s:v>1757</s:v>
      </s:c>
      <s:c r="C865">
        <s:v>3.8</s:v>
      </s:c>
      <s:c r="D865" t="s">
        <s:v>1758</s:v>
      </s:c>
    </s:row>
    <s:row x14ac:dyDescent="0.2" r="866" spans="1:4">
      <s:c r="A866" t="s">
        <s:v>1686</s:v>
      </s:c>
      <s:c r="B866" t="s">
        <s:v>1759</s:v>
      </s:c>
      <s:c r="C866">
        <s:v>6.5</s:v>
      </s:c>
      <s:c r="D866" t="s">
        <s:v>1760</s:v>
      </s:c>
    </s:row>
    <s:row x14ac:dyDescent="0.2" r="867" spans="1:4">
      <s:c r="A867" t="s">
        <s:v>1686</s:v>
      </s:c>
      <s:c r="B867" t="s">
        <s:v>1761</s:v>
      </s:c>
      <s:c r="C867">
        <s:v>8</s:v>
      </s:c>
      <s:c r="D867" t="s">
        <s:v>1762</s:v>
      </s:c>
    </s:row>
    <s:row x14ac:dyDescent="0.2" r="868" spans="1:4">
      <s:c r="A868" t="s">
        <s:v>1686</s:v>
      </s:c>
      <s:c r="B868" t="s">
        <s:v>1763</s:v>
      </s:c>
      <s:c r="C868">
        <s:v>6.8</s:v>
      </s:c>
      <s:c r="D868" t="s">
        <s:v>1764</s:v>
      </s:c>
    </s:row>
    <s:row x14ac:dyDescent="0.2" r="869" spans="1:4">
      <s:c r="A869" t="s">
        <s:v>1686</s:v>
      </s:c>
      <s:c r="B869" t="s">
        <s:v>1765</s:v>
      </s:c>
      <s:c r="C869">
        <s:v>4.5</s:v>
      </s:c>
      <s:c r="D869" t="s">
        <s:v>1766</s:v>
      </s:c>
    </s:row>
    <s:row x14ac:dyDescent="0.2" r="870" spans="1:4">
      <s:c r="A870" t="s">
        <s:v>1686</s:v>
      </s:c>
      <s:c r="B870" t="s">
        <s:v>1767</s:v>
      </s:c>
      <s:c r="C870">
        <s:v>9.3000000000000007</s:v>
      </s:c>
      <s:c r="D870" t="s">
        <s:v>1768</s:v>
      </s:c>
    </s:row>
    <s:row x14ac:dyDescent="0.2" r="871" spans="1:4">
      <s:c r="A871" t="s">
        <s:v>1686</s:v>
      </s:c>
      <s:c r="B871" t="s">
        <s:v>1769</s:v>
      </s:c>
      <s:c r="C871">
        <s:v>7.5</s:v>
      </s:c>
      <s:c r="D871" t="s">
        <s:v>1770</s:v>
      </s:c>
    </s:row>
    <s:row x14ac:dyDescent="0.2" r="872" spans="1:4">
      <s:c r="A872" t="s">
        <s:v>1686</s:v>
      </s:c>
      <s:c r="B872" t="s">
        <s:v>1771</s:v>
      </s:c>
      <s:c r="C872">
        <s:v>7.5</s:v>
      </s:c>
      <s:c r="D872" t="s">
        <s:v>1772</s:v>
      </s:c>
    </s:row>
    <s:row x14ac:dyDescent="0.2" r="873" spans="1:4">
      <s:c r="A873" t="s">
        <s:v>1686</s:v>
      </s:c>
      <s:c r="B873" t="s">
        <s:v>1773</s:v>
      </s:c>
      <s:c r="C873">
        <s:v>4.5</s:v>
      </s:c>
      <s:c r="D873" t="s">
        <s:v>1774</s:v>
      </s:c>
    </s:row>
    <s:row x14ac:dyDescent="0.2" r="874" spans="1:4">
      <s:c r="A874" t="s">
        <s:v>1686</s:v>
      </s:c>
      <s:c r="B874" t="s">
        <s:v>1775</s:v>
      </s:c>
      <s:c r="C874">
        <s:v>7</s:v>
      </s:c>
      <s:c r="D874" t="s">
        <s:v>1776</s:v>
      </s:c>
    </s:row>
    <s:row x14ac:dyDescent="0.2" r="875" spans="1:4">
      <s:c r="A875" t="s">
        <s:v>1686</s:v>
      </s:c>
      <s:c r="B875" t="s">
        <s:v>1777</s:v>
      </s:c>
      <s:c r="C875">
        <s:v>4.3</s:v>
      </s:c>
      <s:c r="D875" t="s">
        <s:v>1778</s:v>
      </s:c>
    </s:row>
    <s:row x14ac:dyDescent="0.2" r="876" spans="1:4">
      <s:c r="A876" t="s">
        <s:v>1686</s:v>
      </s:c>
      <s:c r="B876" t="s">
        <s:v>1779</s:v>
      </s:c>
      <s:c r="C876">
        <s:v>2.2999999999999998</s:v>
      </s:c>
      <s:c r="D876" t="s">
        <s:v>1780</s:v>
      </s:c>
    </s:row>
    <s:row x14ac:dyDescent="0.2" r="877" spans="1:4">
      <s:c r="A877" t="s">
        <s:v>1686</s:v>
      </s:c>
      <s:c r="B877" t="s">
        <s:v>1781</s:v>
      </s:c>
      <s:c r="C877">
        <s:v>2.2999999999999998</s:v>
      </s:c>
      <s:c r="D877" t="s">
        <s:v>1782</s:v>
      </s:c>
    </s:row>
    <s:row x14ac:dyDescent="0.2" r="878" spans="1:4">
      <s:c r="A878" t="s">
        <s:v>1686</s:v>
      </s:c>
      <s:c r="B878" t="s">
        <s:v>1783</s:v>
      </s:c>
      <s:c r="C878">
        <s:v>2.8</s:v>
      </s:c>
      <s:c r="D878" t="s">
        <s:v>1784</s:v>
      </s:c>
    </s:row>
    <s:row x14ac:dyDescent="0.2" r="879" spans="1:4">
      <s:c r="A879" t="s">
        <s:v>1686</s:v>
      </s:c>
      <s:c r="B879" t="s">
        <s:v>1785</s:v>
      </s:c>
      <s:c r="C879">
        <s:v>3.5</s:v>
      </s:c>
      <s:c r="D879" t="s">
        <s:v>1786</s:v>
      </s:c>
    </s:row>
    <s:row x14ac:dyDescent="0.2" r="880" spans="1:4">
      <s:c r="A880" t="s">
        <s:v>1686</s:v>
      </s:c>
      <s:c r="B880" t="s">
        <s:v>1787</s:v>
      </s:c>
      <s:c r="C880">
        <s:v>2.5</s:v>
      </s:c>
      <s:c r="D880" t="s">
        <s:v>1788</s:v>
      </s:c>
    </s:row>
    <s:row x14ac:dyDescent="0.2" r="881" spans="1:4">
      <s:c r="A881" t="s">
        <s:v>1686</s:v>
      </s:c>
      <s:c r="B881" t="s">
        <s:v>1789</s:v>
      </s:c>
      <s:c r="C881">
        <s:v>2.5</s:v>
      </s:c>
      <s:c r="D881" t="s">
        <s:v>1790</s:v>
      </s:c>
    </s:row>
    <s:row x14ac:dyDescent="0.2" r="882" spans="1:4">
      <s:c r="A882" t="s">
        <s:v>1686</s:v>
      </s:c>
      <s:c r="B882" t="s">
        <s:v>1791</s:v>
      </s:c>
      <s:c r="C882">
        <s:v>3</s:v>
      </s:c>
      <s:c r="D882" t="s">
        <s:v>1792</s:v>
      </s:c>
    </s:row>
    <s:row x14ac:dyDescent="0.2" r="883" spans="1:4">
      <s:c r="A883" t="s">
        <s:v>1686</s:v>
      </s:c>
      <s:c r="B883" t="s">
        <s:v>1793</s:v>
      </s:c>
      <s:c r="C883">
        <s:v>3</s:v>
      </s:c>
      <s:c r="D883" t="s">
        <s:v>1794</s:v>
      </s:c>
    </s:row>
    <s:row x14ac:dyDescent="0.2" r="884" spans="1:4">
      <s:c r="A884" t="s">
        <s:v>1686</s:v>
      </s:c>
      <s:c r="B884" t="s">
        <s:v>1795</s:v>
      </s:c>
      <s:c r="C884">
        <s:v>3.3</s:v>
      </s:c>
      <s:c r="D884" t="s">
        <s:v>1796</s:v>
      </s:c>
    </s:row>
    <s:row x14ac:dyDescent="0.2" r="885" spans="1:4">
      <s:c r="A885" t="s">
        <s:v>1686</s:v>
      </s:c>
      <s:c r="B885" t="s">
        <s:v>1797</s:v>
      </s:c>
      <s:c r="C885">
        <s:v>3.8</s:v>
      </s:c>
      <s:c r="D885" t="s">
        <s:v>1798</s:v>
      </s:c>
    </s:row>
    <s:row x14ac:dyDescent="0.2" r="886" spans="1:4">
      <s:c r="A886" t="s">
        <s:v>1686</s:v>
      </s:c>
      <s:c r="B886" t="s">
        <s:v>1799</s:v>
      </s:c>
      <s:c r="C886">
        <s:v>4.8</s:v>
      </s:c>
      <s:c r="D886" t="s">
        <s:v>1800</s:v>
      </s:c>
    </s:row>
    <s:row x14ac:dyDescent="0.2" r="887" spans="1:4">
      <s:c r="A887" t="s">
        <s:v>1686</s:v>
      </s:c>
      <s:c r="B887" t="s">
        <s:v>1801</s:v>
      </s:c>
      <s:c r="C887">
        <s:v>5.5</s:v>
      </s:c>
      <s:c r="D887" t="s">
        <s:v>1802</s:v>
      </s:c>
    </s:row>
    <s:row x14ac:dyDescent="0.2" r="888" spans="1:4">
      <s:c r="A888" t="s">
        <s:v>1686</s:v>
      </s:c>
      <s:c r="B888" t="s">
        <s:v>1803</s:v>
      </s:c>
      <s:c r="C888">
        <s:v>7</s:v>
      </s:c>
      <s:c r="D888" t="s">
        <s:v>1804</s:v>
      </s:c>
    </s:row>
    <s:row x14ac:dyDescent="0.2" r="889" spans="1:4">
      <s:c r="A889" t="s">
        <s:v>1686</s:v>
      </s:c>
      <s:c r="B889" t="s">
        <s:v>1805</s:v>
      </s:c>
      <s:c r="C889">
        <s:v>8.5</s:v>
      </s:c>
      <s:c r="D889" t="s">
        <s:v>1806</s:v>
      </s:c>
    </s:row>
    <s:row x14ac:dyDescent="0.2" r="890" spans="1:4">
      <s:c r="A890" t="s">
        <s:v>1686</s:v>
      </s:c>
      <s:c r="B890" t="s">
        <s:v>1807</s:v>
      </s:c>
      <s:c r="C890">
        <s:v>3.5</s:v>
      </s:c>
      <s:c r="D890" t="s">
        <s:v>1808</s:v>
      </s:c>
    </s:row>
    <s:row x14ac:dyDescent="0.2" r="891" spans="1:4">
      <s:c r="A891" t="s">
        <s:v>1686</s:v>
      </s:c>
      <s:c r="B891" t="s">
        <s:v>1809</s:v>
      </s:c>
      <s:c r="C891">
        <s:v>4</s:v>
      </s:c>
      <s:c r="D891" t="s">
        <s:v>1810</s:v>
      </s:c>
    </s:row>
    <s:row x14ac:dyDescent="0.2" r="892" spans="1:4">
      <s:c r="A892" t="s">
        <s:v>1686</s:v>
      </s:c>
      <s:c r="B892" t="s">
        <s:v>1811</s:v>
      </s:c>
      <s:c r="C892">
        <s:v>4.8</s:v>
      </s:c>
      <s:c r="D892" t="s">
        <s:v>1812</s:v>
      </s:c>
    </s:row>
    <s:row x14ac:dyDescent="0.2" r="893" spans="1:4">
      <s:c r="A893" t="s">
        <s:v>1686</s:v>
      </s:c>
      <s:c r="B893" t="s">
        <s:v>1813</s:v>
      </s:c>
      <s:c r="C893">
        <s:v>4.5</s:v>
      </s:c>
      <s:c r="D893" t="s">
        <s:v>1814</s:v>
      </s:c>
    </s:row>
    <s:row x14ac:dyDescent="0.2" r="894" spans="1:4">
      <s:c r="A894" t="s">
        <s:v>1686</s:v>
      </s:c>
      <s:c r="B894" t="s">
        <s:v>1815</s:v>
      </s:c>
      <s:c r="C894">
        <s:v>4</s:v>
      </s:c>
      <s:c r="D894" t="s">
        <s:v>1816</s:v>
      </s:c>
    </s:row>
    <s:row x14ac:dyDescent="0.2" r="895" spans="1:4">
      <s:c r="A895" t="s">
        <s:v>1686</s:v>
      </s:c>
      <s:c r="B895" t="s">
        <s:v>1817</s:v>
      </s:c>
      <s:c r="C895">
        <s:v>2.5</s:v>
      </s:c>
      <s:c r="D895" t="s">
        <s:v>1818</s:v>
      </s:c>
    </s:row>
    <s:row x14ac:dyDescent="0.2" r="896" spans="1:4">
      <s:c r="A896" t="s">
        <s:v>1686</s:v>
      </s:c>
      <s:c r="B896" t="s">
        <s:v>1819</s:v>
      </s:c>
      <s:c r="C896">
        <s:v>4.3</s:v>
      </s:c>
      <s:c r="D896" t="s">
        <s:v>1820</s:v>
      </s:c>
    </s:row>
    <s:row x14ac:dyDescent="0.2" r="897" spans="1:4">
      <s:c r="A897" t="s">
        <s:v>1686</s:v>
      </s:c>
      <s:c r="B897" t="s">
        <s:v>1821</s:v>
      </s:c>
      <s:c r="C897">
        <s:v>5.3</s:v>
      </s:c>
      <s:c r="D897" t="s">
        <s:v>1822</s:v>
      </s:c>
    </s:row>
    <s:row x14ac:dyDescent="0.2" r="898" spans="1:4">
      <s:c r="A898" t="s">
        <s:v>1686</s:v>
      </s:c>
      <s:c r="B898" t="s">
        <s:v>1823</s:v>
      </s:c>
      <s:c r="C898">
        <s:v>8.5</s:v>
      </s:c>
      <s:c r="D898" t="s">
        <s:v>1824</s:v>
      </s:c>
    </s:row>
    <s:row x14ac:dyDescent="0.2" r="899" spans="1:4">
      <s:c r="A899" t="s">
        <s:v>1686</s:v>
      </s:c>
      <s:c r="B899" t="s">
        <s:v>1825</s:v>
      </s:c>
      <s:c r="C899">
        <s:v>8.8000000000000007</s:v>
      </s:c>
      <s:c r="D899" t="s">
        <s:v>1826</s:v>
      </s:c>
    </s:row>
    <s:row x14ac:dyDescent="0.2" r="900" spans="1:4">
      <s:c r="A900" t="s">
        <s:v>1686</s:v>
      </s:c>
      <s:c r="B900" t="s">
        <s:v>1827</s:v>
      </s:c>
      <s:c r="C900">
        <s:v>10.8</s:v>
      </s:c>
      <s:c r="D900" t="s">
        <s:v>1828</s:v>
      </s:c>
    </s:row>
    <s:row x14ac:dyDescent="0.2" r="901" spans="1:4">
      <s:c r="A901" t="s">
        <s:v>1686</s:v>
      </s:c>
      <s:c r="B901" t="s">
        <s:v>1829</s:v>
      </s:c>
      <s:c r="C901">
        <s:v>12.3</s:v>
      </s:c>
      <s:c r="D901" t="s">
        <s:v>1830</s:v>
      </s:c>
    </s:row>
    <s:row x14ac:dyDescent="0.2" r="902" spans="1:4">
      <s:c r="A902" t="s">
        <s:v>1686</s:v>
      </s:c>
      <s:c r="B902" t="s">
        <s:v>1831</s:v>
      </s:c>
      <s:c r="C902">
        <s:v>6</s:v>
      </s:c>
      <s:c r="D902" t="s">
        <s:v>1832</s:v>
      </s:c>
    </s:row>
    <s:row x14ac:dyDescent="0.2" r="903" spans="1:4">
      <s:c r="A903" t="s">
        <s:v>1686</s:v>
      </s:c>
      <s:c r="B903" t="s">
        <s:v>1833</s:v>
      </s:c>
      <s:c r="C903">
        <s:v>7.8</s:v>
      </s:c>
      <s:c r="D903" t="s">
        <s:v>1834</s:v>
      </s:c>
    </s:row>
    <s:row x14ac:dyDescent="0.2" r="904" spans="1:4">
      <s:c r="A904" t="s">
        <s:v>1686</s:v>
      </s:c>
      <s:c r="B904" t="s">
        <s:v>1835</s:v>
      </s:c>
      <s:c r="C904">
        <s:v>8</s:v>
      </s:c>
      <s:c r="D904" t="s">
        <s:v>1836</s:v>
      </s:c>
    </s:row>
    <s:row x14ac:dyDescent="0.2" r="905" spans="1:4">
      <s:c r="A905" t="s">
        <s:v>1686</s:v>
      </s:c>
      <s:c r="B905" t="s">
        <s:v>1837</s:v>
      </s:c>
      <s:c r="C905">
        <s:v>3.5</s:v>
      </s:c>
      <s:c r="D905" t="s">
        <s:v>1838</s:v>
      </s:c>
    </s:row>
    <s:row x14ac:dyDescent="0.2" r="906" spans="1:4">
      <s:c r="A906" t="s">
        <s:v>1686</s:v>
      </s:c>
      <s:c r="B906" t="s">
        <s:v>1839</s:v>
      </s:c>
      <s:c r="C906">
        <s:v>2.1</s:v>
      </s:c>
      <s:c r="D906" t="s">
        <s:v>1840</s:v>
      </s:c>
    </s:row>
    <s:row x14ac:dyDescent="0.2" r="907" spans="1:4">
      <s:c r="A907" t="s">
        <s:v>1686</s:v>
      </s:c>
      <s:c r="B907" t="s">
        <s:v>1841</s:v>
      </s:c>
      <s:c r="C907">
        <s:v>2.2999999999999998</s:v>
      </s:c>
      <s:c r="D907" t="s">
        <s:v>1842</s:v>
      </s:c>
    </s:row>
    <s:row x14ac:dyDescent="0.2" r="908" spans="1:4">
      <s:c r="A908" t="s">
        <s:v>1686</s:v>
      </s:c>
      <s:c r="B908" t="s">
        <s:v>1843</s:v>
      </s:c>
      <s:c r="C908">
        <s:v>2.8</s:v>
      </s:c>
      <s:c r="D908" t="s">
        <s:v>1844</s:v>
      </s:c>
    </s:row>
    <s:row x14ac:dyDescent="0.2" r="909" spans="1:4">
      <s:c r="A909" t="s">
        <s:v>1686</s:v>
      </s:c>
      <s:c r="B909" t="s">
        <s:v>1845</s:v>
      </s:c>
      <s:c r="C909">
        <s:v>3</s:v>
      </s:c>
      <s:c r="D909" t="s">
        <s:v>1846</s:v>
      </s:c>
    </s:row>
    <s:row x14ac:dyDescent="0.2" r="910" spans="1:4">
      <s:c r="A910" t="s">
        <s:v>1686</s:v>
      </s:c>
      <s:c r="B910" t="s">
        <s:v>1847</s:v>
      </s:c>
      <s:c r="C910">
        <s:v>3.5</s:v>
      </s:c>
      <s:c r="D910" t="s">
        <s:v>1848</s:v>
      </s:c>
    </s:row>
    <s:row x14ac:dyDescent="0.2" r="911" spans="1:4">
      <s:c r="A911" t="s">
        <s:v>1686</s:v>
      </s:c>
      <s:c r="B911" t="s">
        <s:v>1849</s:v>
      </s:c>
      <s:c r="C911">
        <s:v>3.8</s:v>
      </s:c>
      <s:c r="D911" t="s">
        <s:v>1850</s:v>
      </s:c>
    </s:row>
    <s:row x14ac:dyDescent="0.2" r="912" spans="1:4">
      <s:c r="A912" t="s">
        <s:v>1686</s:v>
      </s:c>
      <s:c r="B912" t="s">
        <s:v>1851</s:v>
      </s:c>
      <s:c r="C912">
        <s:v>4.8</s:v>
      </s:c>
      <s:c r="D912" t="s">
        <s:v>1852</s:v>
      </s:c>
    </s:row>
    <s:row x14ac:dyDescent="0.2" r="913" spans="1:4">
      <s:c r="A913" t="s">
        <s:v>1686</s:v>
      </s:c>
      <s:c r="B913" t="s">
        <s:v>1853</s:v>
      </s:c>
      <s:c r="C913">
        <s:v>5.8</s:v>
      </s:c>
      <s:c r="D913" t="s">
        <s:v>1854</s:v>
      </s:c>
    </s:row>
    <s:row x14ac:dyDescent="0.2" r="914" spans="1:4">
      <s:c r="A914" t="s">
        <s:v>1686</s:v>
      </s:c>
      <s:c r="B914" t="s">
        <s:v>1855</s:v>
      </s:c>
      <s:c r="C914">
        <s:v>6.8</s:v>
      </s:c>
      <s:c r="D914" t="s">
        <s:v>1856</s:v>
      </s:c>
    </s:row>
    <s:row x14ac:dyDescent="0.2" r="915" spans="1:4">
      <s:c r="A915" t="s">
        <s:v>1686</s:v>
      </s:c>
      <s:c r="B915" t="s">
        <s:v>1857</s:v>
      </s:c>
      <s:c r="C915">
        <s:v>8.3000000000000007</s:v>
      </s:c>
      <s:c r="D915" t="s">
        <s:v>1858</s:v>
      </s:c>
    </s:row>
    <s:row x14ac:dyDescent="0.2" r="916" spans="1:4">
      <s:c r="A916" t="s">
        <s:v>1686</s:v>
      </s:c>
      <s:c r="B916" t="s">
        <s:v>1859</s:v>
      </s:c>
      <s:c r="C916">
        <s:v>3.3</s:v>
      </s:c>
      <s:c r="D916" t="s">
        <s:v>1860</s:v>
      </s:c>
    </s:row>
    <s:row x14ac:dyDescent="0.2" r="917" spans="1:4">
      <s:c r="A917" t="s">
        <s:v>1686</s:v>
      </s:c>
      <s:c r="B917" t="s">
        <s:v>1861</s:v>
      </s:c>
      <s:c r="C917">
        <s:v>3.3</s:v>
      </s:c>
      <s:c r="D917" t="s">
        <s:v>1862</s:v>
      </s:c>
    </s:row>
    <s:row x14ac:dyDescent="0.2" r="918" spans="1:4">
      <s:c r="A918" t="s">
        <s:v>1686</s:v>
      </s:c>
      <s:c r="B918" t="s">
        <s:v>1863</s:v>
      </s:c>
      <s:c r="C918">
        <s:v>4.8</s:v>
      </s:c>
      <s:c r="D918" t="s">
        <s:v>1864</s:v>
      </s:c>
    </s:row>
    <s:row x14ac:dyDescent="0.2" r="919" spans="1:4">
      <s:c r="A919" t="s">
        <s:v>1686</s:v>
      </s:c>
      <s:c r="B919" t="s">
        <s:v>1865</s:v>
      </s:c>
      <s:c r="C919">
        <s:v>5.8</s:v>
      </s:c>
      <s:c r="D919" t="s">
        <s:v>1866</s:v>
      </s:c>
    </s:row>
    <s:row x14ac:dyDescent="0.2" r="920" spans="1:4">
      <s:c r="A920" t="s">
        <s:v>1686</s:v>
      </s:c>
      <s:c r="B920" t="s">
        <s:v>1867</s:v>
      </s:c>
      <s:c r="C920">
        <s:v>8.3000000000000007</s:v>
      </s:c>
      <s:c r="D920" t="s">
        <s:v>1868</s:v>
      </s:c>
    </s:row>
    <s:row x14ac:dyDescent="0.2" r="921" spans="1:4">
      <s:c r="A921" t="s">
        <s:v>1686</s:v>
      </s:c>
      <s:c r="B921" t="s">
        <s:v>1869</s:v>
      </s:c>
      <s:c r="C921">
        <s:v>7.8</s:v>
      </s:c>
      <s:c r="D921" t="s">
        <s:v>1870</s:v>
      </s:c>
    </s:row>
    <s:row x14ac:dyDescent="0.2" r="922" spans="1:4">
      <s:c r="A922" t="s">
        <s:v>1686</s:v>
      </s:c>
      <s:c r="B922" t="s">
        <s:v>1871</s:v>
      </s:c>
      <s:c r="C922">
        <s:v>1.5</s:v>
      </s:c>
      <s:c r="D922" t="s">
        <s:v>1872</s:v>
      </s:c>
    </s:row>
    <s:row x14ac:dyDescent="0.2" r="923" spans="1:4">
      <s:c r="A923" t="s">
        <s:v>1873</s:v>
      </s:c>
      <s:c r="B923" t="s">
        <s:v>1874</s:v>
      </s:c>
      <s:c r="C923">
        <s:v>2.5</s:v>
      </s:c>
      <s:c r="D923" t="s">
        <s:v>1875</s:v>
      </s:c>
    </s:row>
    <s:row x14ac:dyDescent="0.2" r="924" spans="1:4">
      <s:c r="A924" t="s">
        <s:v>1873</s:v>
      </s:c>
      <s:c r="B924" t="s">
        <s:v>1876</s:v>
      </s:c>
      <s:c r="C924">
        <s:v>1.3</s:v>
      </s:c>
      <s:c r="D924" t="s">
        <s:v>1877</s:v>
      </s:c>
    </s:row>
    <s:row x14ac:dyDescent="0.2" r="925" spans="1:4">
      <s:c r="A925" t="s">
        <s:v>1873</s:v>
      </s:c>
      <s:c r="B925" t="s">
        <s:v>1878</s:v>
      </s:c>
      <s:c r="C925">
        <s:v>4</s:v>
      </s:c>
      <s:c r="D925" t="s">
        <s:v>1879</s:v>
      </s:c>
    </s:row>
    <s:row x14ac:dyDescent="0.2" r="926" spans="1:4">
      <s:c r="A926" t="s">
        <s:v>1873</s:v>
      </s:c>
      <s:c r="B926" t="s">
        <s:v>1880</s:v>
      </s:c>
      <s:c r="C926">
        <s:v>3.3</s:v>
      </s:c>
      <s:c r="D926" t="s">
        <s:v>1881</s:v>
      </s:c>
    </s:row>
    <s:row x14ac:dyDescent="0.2" r="927" spans="1:4">
      <s:c r="A927" t="s">
        <s:v>1873</s:v>
      </s:c>
      <s:c r="B927" t="s">
        <s:v>1882</s:v>
      </s:c>
      <s:c r="C927">
        <s:v>7</s:v>
      </s:c>
      <s:c r="D927" t="s">
        <s:v>1883</s:v>
      </s:c>
    </s:row>
    <s:row x14ac:dyDescent="0.2" r="928" spans="1:4">
      <s:c r="A928" t="s">
        <s:v>1873</s:v>
      </s:c>
      <s:c r="B928" t="s">
        <s:v>1884</s:v>
      </s:c>
      <s:c r="C928">
        <s:v>2.8</s:v>
      </s:c>
      <s:c r="D928" t="s">
        <s:v>1885</s:v>
      </s:c>
    </s:row>
    <s:row x14ac:dyDescent="0.2" r="929" spans="1:4">
      <s:c r="A929" t="s">
        <s:v>1873</s:v>
      </s:c>
      <s:c r="B929" t="s">
        <s:v>1886</s:v>
      </s:c>
      <s:c r="C929">
        <s:v>5.8</s:v>
      </s:c>
      <s:c r="D929" t="s">
        <s:v>1887</s:v>
      </s:c>
    </s:row>
    <s:row x14ac:dyDescent="0.2" r="930" spans="1:4">
      <s:c r="A930" t="s">
        <s:v>1873</s:v>
      </s:c>
      <s:c r="B930" t="s">
        <s:v>1888</s:v>
      </s:c>
      <s:c r="C930">
        <s:v>12.5</s:v>
      </s:c>
      <s:c r="D930" t="s">
        <s:v>1889</s:v>
      </s:c>
    </s:row>
    <s:row x14ac:dyDescent="0.2" r="931" spans="1:4">
      <s:c r="A931" t="s">
        <s:v>1873</s:v>
      </s:c>
      <s:c r="B931" t="s">
        <s:v>1890</s:v>
      </s:c>
      <s:c r="C931">
        <s:v>3.5</s:v>
      </s:c>
      <s:c r="D931" t="s">
        <s:v>1891</s:v>
      </s:c>
    </s:row>
    <s:row x14ac:dyDescent="0.2" r="932" spans="1:4">
      <s:c r="A932" t="s">
        <s:v>1873</s:v>
      </s:c>
      <s:c r="B932" t="s">
        <s:v>1892</s:v>
      </s:c>
      <s:c r="C932">
        <s:v>12</s:v>
      </s:c>
      <s:c r="D932" t="s">
        <s:v>1893</s:v>
      </s:c>
    </s:row>
    <s:row x14ac:dyDescent="0.2" r="933" spans="1:4">
      <s:c r="A933" t="s">
        <s:v>1873</s:v>
      </s:c>
      <s:c r="B933" t="s">
        <s:v>1894</s:v>
      </s:c>
      <s:c r="C933">
        <s:v>3</s:v>
      </s:c>
      <s:c r="D933" t="s">
        <s:v>1895</s:v>
      </s:c>
    </s:row>
    <s:row x14ac:dyDescent="0.2" r="934" spans="1:4">
      <s:c r="A934" t="s">
        <s:v>1873</s:v>
      </s:c>
      <s:c r="B934" t="s">
        <s:v>1896</s:v>
      </s:c>
      <s:c r="C934">
        <s:v>5</s:v>
      </s:c>
      <s:c r="D934" t="s">
        <s:v>1897</s:v>
      </s:c>
    </s:row>
    <s:row x14ac:dyDescent="0.2" r="935" spans="1:4">
      <s:c r="A935" t="s">
        <s:v>1873</s:v>
      </s:c>
      <s:c r="B935" t="s">
        <s:v>1898</s:v>
      </s:c>
      <s:c r="C935">
        <s:v>13.5</s:v>
      </s:c>
      <s:c r="D935" t="s">
        <s:v>1899</s:v>
      </s:c>
    </s:row>
    <s:row x14ac:dyDescent="0.2" r="936" spans="1:4">
      <s:c r="A936" t="s">
        <s:v>1873</s:v>
      </s:c>
      <s:c r="B936" t="s">
        <s:v>1900</s:v>
      </s:c>
      <s:c r="C936">
        <s:v>9</s:v>
      </s:c>
      <s:c r="D936" t="s">
        <s:v>1901</s:v>
      </s:c>
    </s:row>
    <s:row x14ac:dyDescent="0.2" r="937" spans="1:4">
      <s:c r="A937" t="s">
        <s:v>1873</s:v>
      </s:c>
      <s:c r="B937" t="s">
        <s:v>1902</s:v>
      </s:c>
      <s:c r="C937">
        <s:v>4</s:v>
      </s:c>
      <s:c r="D937" t="s">
        <s:v>1903</s:v>
      </s:c>
    </s:row>
    <s:row x14ac:dyDescent="0.2" r="938" spans="1:4">
      <s:c r="A938" t="s">
        <s:v>1873</s:v>
      </s:c>
      <s:c r="B938" t="s">
        <s:v>1904</s:v>
      </s:c>
      <s:c r="C938">
        <s:v>15.5</s:v>
      </s:c>
      <s:c r="D938" t="s">
        <s:v>1905</s:v>
      </s:c>
    </s:row>
    <s:row x14ac:dyDescent="0.2" r="939" spans="1:4">
      <s:c r="A939" t="s">
        <s:v>1873</s:v>
      </s:c>
      <s:c r="B939" t="s">
        <s:v>1906</s:v>
      </s:c>
      <s:c r="C939">
        <s:v>15.5</s:v>
      </s:c>
      <s:c r="D939" t="s">
        <s:v>1907</s:v>
      </s:c>
    </s:row>
    <s:row x14ac:dyDescent="0.2" r="940" spans="1:4">
      <s:c r="A940" t="s">
        <s:v>1873</s:v>
      </s:c>
      <s:c r="B940" t="s">
        <s:v>1908</s:v>
      </s:c>
      <s:c r="C940">
        <s:v>3</s:v>
      </s:c>
      <s:c r="D940" t="s">
        <s:v>1909</s:v>
      </s:c>
    </s:row>
    <s:row x14ac:dyDescent="0.2" r="941" spans="1:4">
      <s:c r="A941" t="s">
        <s:v>1873</s:v>
      </s:c>
      <s:c r="B941" t="s">
        <s:v>1910</s:v>
      </s:c>
      <s:c r="C941">
        <s:v>4.5</s:v>
      </s:c>
      <s:c r="D941" t="s">
        <s:v>1911</s:v>
      </s:c>
    </s:row>
    <s:row x14ac:dyDescent="0.2" r="942" spans="1:4">
      <s:c r="A942" t="s">
        <s:v>1873</s:v>
      </s:c>
      <s:c r="B942" t="s">
        <s:v>1912</s:v>
      </s:c>
      <s:c r="C942">
        <s:v>9.3000000000000007</s:v>
      </s:c>
      <s:c r="D942" t="s">
        <s:v>1913</s:v>
      </s:c>
    </s:row>
    <s:row x14ac:dyDescent="0.2" r="943" spans="1:4">
      <s:c r="A943" t="s">
        <s:v>1873</s:v>
      </s:c>
      <s:c r="B943" t="s">
        <s:v>1914</s:v>
      </s:c>
      <s:c r="C943">
        <s:v>3.3</s:v>
      </s:c>
      <s:c r="D943" t="s">
        <s:v>1915</s:v>
      </s:c>
    </s:row>
    <s:row x14ac:dyDescent="0.2" r="944" spans="1:4">
      <s:c r="A944" t="s">
        <s:v>1873</s:v>
      </s:c>
      <s:c r="B944" t="s">
        <s:v>1916</s:v>
      </s:c>
      <s:c r="C944">
        <s:v>2</s:v>
      </s:c>
      <s:c r="D944" t="s">
        <s:v>1917</s:v>
      </s:c>
    </s:row>
    <s:row x14ac:dyDescent="0.2" r="945" spans="1:4">
      <s:c r="A945" t="s">
        <s:v>1873</s:v>
      </s:c>
      <s:c r="B945" t="s">
        <s:v>1918</s:v>
      </s:c>
      <s:c r="C945">
        <s:v>6</s:v>
      </s:c>
      <s:c r="D945" t="s">
        <s:v>1919</s:v>
      </s:c>
    </s:row>
    <s:row x14ac:dyDescent="0.2" r="946" spans="1:4">
      <s:c r="A946" t="s">
        <s:v>1873</s:v>
      </s:c>
      <s:c r="B946" t="s">
        <s:v>1920</s:v>
      </s:c>
      <s:c r="C946">
        <s:v>7</s:v>
      </s:c>
      <s:c r="D946" t="s">
        <s:v>1921</s:v>
      </s:c>
    </s:row>
    <s:row x14ac:dyDescent="0.2" r="947" spans="1:4">
      <s:c r="A947" t="s">
        <s:v>1873</s:v>
      </s:c>
      <s:c r="B947" t="s">
        <s:v>1922</s:v>
      </s:c>
      <s:c r="C947">
        <s:v>15.8</s:v>
      </s:c>
      <s:c r="D947" t="s">
        <s:v>1923</s:v>
      </s:c>
    </s:row>
    <s:row x14ac:dyDescent="0.2" r="948" spans="1:4">
      <s:c r="A948" t="s">
        <s:v>1873</s:v>
      </s:c>
      <s:c r="B948" t="s">
        <s:v>1924</s:v>
      </s:c>
      <s:c r="C948">
        <s:v>11.8</s:v>
      </s:c>
      <s:c r="D948" t="s">
        <s:v>1925</s:v>
      </s:c>
    </s:row>
    <s:row x14ac:dyDescent="0.2" r="949" spans="1:4">
      <s:c r="A949" t="s">
        <s:v>1873</s:v>
      </s:c>
      <s:c r="B949" t="s">
        <s:v>1926</s:v>
      </s:c>
      <s:c r="C949">
        <s:v>7</s:v>
      </s:c>
      <s:c r="D949" t="s">
        <s:v>1927</s:v>
      </s:c>
    </s:row>
    <s:row x14ac:dyDescent="0.2" r="950" spans="1:4">
      <s:c r="A950" t="s">
        <s:v>1873</s:v>
      </s:c>
      <s:c r="B950" t="s">
        <s:v>1928</s:v>
      </s:c>
      <s:c r="C950">
        <s:v>5.3</s:v>
      </s:c>
      <s:c r="D950" t="s">
        <s:v>1929</s:v>
      </s:c>
    </s:row>
    <s:row x14ac:dyDescent="0.2" r="951" spans="1:4">
      <s:c r="A951" t="s">
        <s:v>1873</s:v>
      </s:c>
      <s:c r="B951" t="s">
        <s:v>1930</s:v>
      </s:c>
      <s:c r="C951">
        <s:v>5.8</s:v>
      </s:c>
      <s:c r="D951" t="s">
        <s:v>1931</s:v>
      </s:c>
    </s:row>
    <s:row x14ac:dyDescent="0.2" r="952" spans="1:4">
      <s:c r="A952" t="s">
        <s:v>1873</s:v>
      </s:c>
      <s:c r="B952" t="s">
        <s:v>1932</s:v>
      </s:c>
      <s:c r="C952">
        <s:v>5.5</s:v>
      </s:c>
      <s:c r="D952" t="s">
        <s:v>1933</s:v>
      </s:c>
    </s:row>
    <s:row x14ac:dyDescent="0.2" r="953" spans="1:4">
      <s:c r="A953" t="s">
        <s:v>1873</s:v>
      </s:c>
      <s:c r="B953" t="s">
        <s:v>1934</s:v>
      </s:c>
      <s:c r="C953">
        <s:v>6.8</s:v>
      </s:c>
      <s:c r="D953" t="s">
        <s:v>1935</s:v>
      </s:c>
    </s:row>
    <s:row x14ac:dyDescent="0.2" r="954" spans="1:4">
      <s:c r="A954" t="s">
        <s:v>1873</s:v>
      </s:c>
      <s:c r="B954" t="s">
        <s:v>1936</s:v>
      </s:c>
      <s:c r="C954">
        <s:v>5</s:v>
      </s:c>
      <s:c r="D954" t="s">
        <s:v>1937</s:v>
      </s:c>
    </s:row>
    <s:row x14ac:dyDescent="0.2" r="955" spans="1:4">
      <s:c r="A955" t="s">
        <s:v>1873</s:v>
      </s:c>
      <s:c r="B955" t="s">
        <s:v>1938</s:v>
      </s:c>
      <s:c r="C955">
        <s:v>3</s:v>
      </s:c>
      <s:c r="D955" t="s">
        <s:v>1939</s:v>
      </s:c>
    </s:row>
    <s:row x14ac:dyDescent="0.2" r="956" spans="1:4">
      <s:c r="A956" t="s">
        <s:v>1873</s:v>
      </s:c>
      <s:c r="B956" t="s">
        <s:v>1940</s:v>
      </s:c>
      <s:c r="C956">
        <s:v>6.8</s:v>
      </s:c>
      <s:c r="D956" t="s">
        <s:v>1941</s:v>
      </s:c>
    </s:row>
    <s:row x14ac:dyDescent="0.2" r="957" spans="1:4">
      <s:c r="A957" t="s">
        <s:v>1873</s:v>
      </s:c>
      <s:c r="B957" t="s">
        <s:v>1942</s:v>
      </s:c>
      <s:c r="C957">
        <s:v>5</s:v>
      </s:c>
      <s:c r="D957" t="s">
        <s:v>1943</s:v>
      </s:c>
    </s:row>
    <s:row x14ac:dyDescent="0.2" r="958" spans="1:4">
      <s:c r="A958" t="s">
        <s:v>1873</s:v>
      </s:c>
      <s:c r="B958" t="s">
        <s:v>1944</s:v>
      </s:c>
      <s:c r="C958">
        <s:v>6.5</s:v>
      </s:c>
      <s:c r="D958" t="s">
        <s:v>1945</s:v>
      </s:c>
    </s:row>
    <s:row x14ac:dyDescent="0.2" r="959" spans="1:4">
      <s:c r="A959" t="s">
        <s:v>1873</s:v>
      </s:c>
      <s:c r="B959" t="s">
        <s:v>1946</s:v>
      </s:c>
      <s:c r="C959">
        <s:v>2.8</s:v>
      </s:c>
      <s:c r="D959" t="s">
        <s:v>1947</s:v>
      </s:c>
    </s:row>
    <s:row x14ac:dyDescent="0.2" r="960" spans="1:4">
      <s:c r="A960" t="s">
        <s:v>1873</s:v>
      </s:c>
      <s:c r="B960" t="s">
        <s:v>1948</s:v>
      </s:c>
      <s:c r="C960">
        <s:v>3.8</s:v>
      </s:c>
      <s:c r="D960" t="s">
        <s:v>1949</s:v>
      </s:c>
    </s:row>
    <s:row x14ac:dyDescent="0.2" r="961" spans="1:4">
      <s:c r="A961" t="s">
        <s:v>1873</s:v>
      </s:c>
      <s:c r="B961" t="s">
        <s:v>1950</s:v>
      </s:c>
      <s:c r="C961">
        <s:v>5</s:v>
      </s:c>
      <s:c r="D961" t="s">
        <s:v>1951</s:v>
      </s:c>
    </s:row>
    <s:row x14ac:dyDescent="0.2" r="962" spans="1:4">
      <s:c r="A962" t="s">
        <s:v>1873</s:v>
      </s:c>
      <s:c r="B962" t="s">
        <s:v>1952</s:v>
      </s:c>
      <s:c r="C962">
        <s:v>9.8000000000000007</s:v>
      </s:c>
      <s:c r="D962" t="s">
        <s:v>1953</s:v>
      </s:c>
    </s:row>
    <s:row x14ac:dyDescent="0.2" r="963" spans="1:4">
      <s:c r="A963" t="s">
        <s:v>1873</s:v>
      </s:c>
      <s:c r="B963" t="s">
        <s:v>1954</s:v>
      </s:c>
      <s:c r="C963">
        <s:v>11</s:v>
      </s:c>
      <s:c r="D963" t="s">
        <s:v>1955</s:v>
      </s:c>
    </s:row>
    <s:row x14ac:dyDescent="0.2" r="964" spans="1:4">
      <s:c r="A964" t="s">
        <s:v>1873</s:v>
      </s:c>
      <s:c r="B964" t="s">
        <s:v>1956</s:v>
      </s:c>
      <s:c r="C964">
        <s:v>9.8000000000000007</s:v>
      </s:c>
      <s:c r="D964" t="s">
        <s:v>1957</s:v>
      </s:c>
    </s:row>
    <s:row x14ac:dyDescent="0.2" r="965" spans="1:4">
      <s:c r="A965" t="s">
        <s:v>1873</s:v>
      </s:c>
      <s:c r="B965" t="s">
        <s:v>1958</s:v>
      </s:c>
      <s:c r="C965">
        <s:v>5.8</s:v>
      </s:c>
      <s:c r="D965" t="s">
        <s:v>1959</s:v>
      </s:c>
    </s:row>
    <s:row x14ac:dyDescent="0.2" r="966" spans="1:4">
      <s:c r="A966" t="s">
        <s:v>1873</s:v>
      </s:c>
      <s:c r="B966" t="s">
        <s:v>1960</s:v>
      </s:c>
      <s:c r="C966">
        <s:v>9.5</s:v>
      </s:c>
      <s:c r="D966" t="s">
        <s:v>1961</s:v>
      </s:c>
    </s:row>
    <s:row x14ac:dyDescent="0.2" r="967" spans="1:4">
      <s:c r="A967" t="s">
        <s:v>1873</s:v>
      </s:c>
      <s:c r="B967" t="s">
        <s:v>1962</s:v>
      </s:c>
      <s:c r="C967">
        <s:v>4.8</s:v>
      </s:c>
      <s:c r="D967" t="s">
        <s:v>1963</s:v>
      </s:c>
    </s:row>
    <s:row x14ac:dyDescent="0.2" r="968" spans="1:4">
      <s:c r="A968" t="s">
        <s:v>1873</s:v>
      </s:c>
      <s:c r="B968" t="s">
        <s:v>1964</s:v>
      </s:c>
      <s:c r="C968">
        <s:v>10.3</s:v>
      </s:c>
      <s:c r="D968" t="s">
        <s:v>1965</s:v>
      </s:c>
    </s:row>
    <s:row x14ac:dyDescent="0.2" r="969" spans="1:4">
      <s:c r="A969" t="s">
        <s:v>1873</s:v>
      </s:c>
      <s:c r="B969" t="s">
        <s:v>1966</s:v>
      </s:c>
      <s:c r="C969">
        <s:v>5.3</s:v>
      </s:c>
      <s:c r="D969" t="s">
        <s:v>1967</s:v>
      </s:c>
    </s:row>
    <s:row x14ac:dyDescent="0.2" r="970" spans="1:4">
      <s:c r="A970" t="s">
        <s:v>1873</s:v>
      </s:c>
      <s:c r="B970" t="s">
        <s:v>1968</s:v>
      </s:c>
      <s:c r="C970">
        <s:v>13.8</s:v>
      </s:c>
      <s:c r="D970" t="s">
        <s:v>1969</s:v>
      </s:c>
    </s:row>
    <s:row x14ac:dyDescent="0.2" r="971" spans="1:4">
      <s:c r="A971" t="s">
        <s:v>1873</s:v>
      </s:c>
      <s:c r="B971" t="s">
        <s:v>1970</s:v>
      </s:c>
      <s:c r="C971">
        <s:v>10.5</s:v>
      </s:c>
      <s:c r="D971" t="s">
        <s:v>1971</s:v>
      </s:c>
    </s:row>
    <s:row x14ac:dyDescent="0.2" r="972" spans="1:4">
      <s:c r="A972" t="s">
        <s:v>1873</s:v>
      </s:c>
      <s:c r="B972" t="s">
        <s:v>1972</s:v>
      </s:c>
      <s:c r="C972">
        <s:v>10.5</s:v>
      </s:c>
      <s:c r="D972" t="s">
        <s:v>1973</s:v>
      </s:c>
    </s:row>
    <s:row x14ac:dyDescent="0.2" r="973" spans="1:4">
      <s:c r="A973" t="s">
        <s:v>1873</s:v>
      </s:c>
      <s:c r="B973" t="s">
        <s:v>1974</s:v>
      </s:c>
      <s:c r="C973">
        <s:v>8</s:v>
      </s:c>
      <s:c r="D973" t="s">
        <s:v>1975</s:v>
      </s:c>
    </s:row>
    <s:row x14ac:dyDescent="0.2" r="974" spans="1:4">
      <s:c r="A974" t="s">
        <s:v>1873</s:v>
      </s:c>
      <s:c r="B974" t="s">
        <s:v>1976</s:v>
      </s:c>
      <s:c r="C974">
        <s:v>5.8</s:v>
      </s:c>
      <s:c r="D974" t="s">
        <s:v>1977</s:v>
      </s:c>
    </s:row>
    <s:row x14ac:dyDescent="0.2" r="975" spans="1:4">
      <s:c r="A975" t="s">
        <s:v>1873</s:v>
      </s:c>
      <s:c r="B975" t="s">
        <s:v>1978</s:v>
      </s:c>
      <s:c r="C975">
        <s:v>14.5</s:v>
      </s:c>
      <s:c r="D975" t="s">
        <s:v>1979</s:v>
      </s:c>
    </s:row>
    <s:row x14ac:dyDescent="0.2" r="976" spans="1:4">
      <s:c r="A976" t="s">
        <s:v>1873</s:v>
      </s:c>
      <s:c r="B976" t="s">
        <s:v>1980</s:v>
      </s:c>
      <s:c r="C976">
        <s:v>6</s:v>
      </s:c>
      <s:c r="D976" t="s">
        <s:v>1981</s:v>
      </s:c>
    </s:row>
    <s:row x14ac:dyDescent="0.2" r="977" spans="1:4">
      <s:c r="A977" t="s">
        <s:v>1873</s:v>
      </s:c>
      <s:c r="B977" t="s">
        <s:v>1982</s:v>
      </s:c>
      <s:c r="C977">
        <s:v>6</s:v>
      </s:c>
      <s:c r="D977" t="s">
        <s:v>1983</s:v>
      </s:c>
    </s:row>
    <s:row x14ac:dyDescent="0.2" r="978" spans="1:4">
      <s:c r="A978" t="s">
        <s:v>1873</s:v>
      </s:c>
      <s:c r="B978" t="s">
        <s:v>1984</s:v>
      </s:c>
      <s:c r="C978">
        <s:v>7</s:v>
      </s:c>
      <s:c r="D978" t="s">
        <s:v>1985</s:v>
      </s:c>
    </s:row>
    <s:row x14ac:dyDescent="0.2" r="979" spans="1:4">
      <s:c r="A979" t="s">
        <s:v>1873</s:v>
      </s:c>
      <s:c r="B979" t="s">
        <s:v>1986</s:v>
      </s:c>
      <s:c r="C979">
        <s:v>8</s:v>
      </s:c>
      <s:c r="D979" t="s">
        <s:v>1987</s:v>
      </s:c>
    </s:row>
    <s:row x14ac:dyDescent="0.2" r="980" spans="1:4">
      <s:c r="A980" t="s">
        <s:v>1873</s:v>
      </s:c>
      <s:c r="B980" t="s">
        <s:v>1988</s:v>
      </s:c>
      <s:c r="C980">
        <s:v>9.8000000000000007</s:v>
      </s:c>
      <s:c r="D980" t="s">
        <s:v>1989</s:v>
      </s:c>
    </s:row>
    <s:row x14ac:dyDescent="0.2" r="981" spans="1:4">
      <s:c r="A981" t="s">
        <s:v>1873</s:v>
      </s:c>
      <s:c r="B981" t="s">
        <s:v>1990</s:v>
      </s:c>
      <s:c r="C981">
        <s:v>3.5</s:v>
      </s:c>
      <s:c r="D981" t="s">
        <s:v>1991</s:v>
      </s:c>
    </s:row>
    <s:row x14ac:dyDescent="0.2" r="982" spans="1:4">
      <s:c r="A982" t="s">
        <s:v>1873</s:v>
      </s:c>
      <s:c r="B982" t="s">
        <s:v>1992</s:v>
      </s:c>
      <s:c r="C982">
        <s:v>2.2999999999999998</s:v>
      </s:c>
      <s:c r="D982" t="s">
        <s:v>1993</s:v>
      </s:c>
    </s:row>
    <s:row x14ac:dyDescent="0.2" r="983" spans="1:4">
      <s:c r="A983" t="s">
        <s:v>1873</s:v>
      </s:c>
      <s:c r="B983" t="s">
        <s:v>1994</s:v>
      </s:c>
      <s:c r="C983">
        <s:v>5.5</s:v>
      </s:c>
      <s:c r="D983" t="s">
        <s:v>1995</s:v>
      </s:c>
    </s:row>
    <s:row x14ac:dyDescent="0.2" r="984" spans="1:4">
      <s:c r="A984" t="s">
        <s:v>1873</s:v>
      </s:c>
      <s:c r="B984" t="s">
        <s:v>1996</s:v>
      </s:c>
      <s:c r="C984">
        <s:v>3.8</s:v>
      </s:c>
      <s:c r="D984" t="s">
        <s:v>1997</s:v>
      </s:c>
    </s:row>
    <s:row x14ac:dyDescent="0.2" r="985" spans="1:4">
      <s:c r="A985" t="s">
        <s:v>1873</s:v>
      </s:c>
      <s:c r="B985" t="s">
        <s:v>1998</s:v>
      </s:c>
      <s:c r="C985">
        <s:v>7.5</s:v>
      </s:c>
      <s:c r="D985" t="s">
        <s:v>1999</s:v>
      </s:c>
    </s:row>
    <s:row x14ac:dyDescent="0.2" r="986" spans="1:4">
      <s:c r="A986" t="s">
        <s:v>1873</s:v>
      </s:c>
      <s:c r="B986" t="s">
        <s:v>2000</s:v>
      </s:c>
      <s:c r="C986">
        <s:v>10</s:v>
      </s:c>
      <s:c r="D986" t="s">
        <s:v>2001</s:v>
      </s:c>
    </s:row>
    <s:row x14ac:dyDescent="0.2" r="987" spans="1:4">
      <s:c r="A987" t="s">
        <s:v>1873</s:v>
      </s:c>
      <s:c r="B987" t="s">
        <s:v>2002</s:v>
      </s:c>
      <s:c r="C987">
        <s:v>3</s:v>
      </s:c>
      <s:c r="D987" t="s">
        <s:v>2003</s:v>
      </s:c>
    </s:row>
    <s:row x14ac:dyDescent="0.2" r="988" spans="1:4">
      <s:c r="A988" t="s">
        <s:v>1873</s:v>
      </s:c>
      <s:c r="B988" t="s">
        <s:v>2004</s:v>
      </s:c>
      <s:c r="C988">
        <s:v>9.8000000000000007</s:v>
      </s:c>
      <s:c r="D988" t="s">
        <s:v>2005</s:v>
      </s:c>
    </s:row>
    <s:row x14ac:dyDescent="0.2" r="989" spans="1:4">
      <s:c r="A989" t="s">
        <s:v>1873</s:v>
      </s:c>
      <s:c r="B989" t="s">
        <s:v>2006</s:v>
      </s:c>
      <s:c r="C989">
        <s:v>2.5</s:v>
      </s:c>
      <s:c r="D989" t="s">
        <s:v>2007</s:v>
      </s:c>
    </s:row>
    <s:row x14ac:dyDescent="0.2" r="990" spans="1:4">
      <s:c r="A990" t="s">
        <s:v>1873</s:v>
      </s:c>
      <s:c r="B990" t="s">
        <s:v>2008</s:v>
      </s:c>
      <s:c r="C990">
        <s:v>4.8</s:v>
      </s:c>
      <s:c r="D990" t="s">
        <s:v>2009</s:v>
      </s:c>
    </s:row>
    <s:row x14ac:dyDescent="0.2" r="991" spans="1:4">
      <s:c r="A991" t="s">
        <s:v>1873</s:v>
      </s:c>
      <s:c r="B991" t="s">
        <s:v>2010</s:v>
      </s:c>
      <s:c r="C991">
        <s:v>6.8</s:v>
      </s:c>
      <s:c r="D991" t="s">
        <s:v>2011</s:v>
      </s:c>
    </s:row>
    <s:row x14ac:dyDescent="0.2" r="992" spans="1:4">
      <s:c r="A992" t="s">
        <s:v>1873</s:v>
      </s:c>
      <s:c r="B992" t="s">
        <s:v>2012</s:v>
      </s:c>
      <s:c r="C992">
        <s:v>5</s:v>
      </s:c>
      <s:c r="D992" t="s">
        <s:v>2013</s:v>
      </s:c>
    </s:row>
    <s:row x14ac:dyDescent="0.2" r="993" spans="1:4">
      <s:c r="A993" t="s">
        <s:v>1873</s:v>
      </s:c>
      <s:c r="B993" t="s">
        <s:v>2014</s:v>
      </s:c>
      <s:c r="C993">
        <s:v>6.5</s:v>
      </s:c>
      <s:c r="D993" t="s">
        <s:v>2015</s:v>
      </s:c>
    </s:row>
    <s:row x14ac:dyDescent="0.2" r="994" spans="1:4">
      <s:c r="A994" t="s">
        <s:v>1873</s:v>
      </s:c>
      <s:c r="B994" t="s">
        <s:v>2016</s:v>
      </s:c>
      <s:c r="C994">
        <s:v>7.5</s:v>
      </s:c>
      <s:c r="D994" t="s">
        <s:v>2017</s:v>
      </s:c>
    </s:row>
    <s:row x14ac:dyDescent="0.2" r="995" spans="1:4">
      <s:c r="A995" t="s">
        <s:v>1873</s:v>
      </s:c>
      <s:c r="B995" t="s">
        <s:v>2018</s:v>
      </s:c>
      <s:c r="C995">
        <s:v>8.5</s:v>
      </s:c>
      <s:c r="D995" t="s">
        <s:v>2019</s:v>
      </s:c>
    </s:row>
    <s:row x14ac:dyDescent="0.2" r="996" spans="1:4">
      <s:c r="A996" t="s">
        <s:v>1873</s:v>
      </s:c>
      <s:c r="B996" t="s">
        <s:v>2020</s:v>
      </s:c>
      <s:c r="C996">
        <s:v>9.8000000000000007</s:v>
      </s:c>
      <s:c r="D996" t="s">
        <s:v>2021</s:v>
      </s:c>
    </s:row>
    <s:row x14ac:dyDescent="0.2" r="997" spans="1:4">
      <s:c r="A997" t="s">
        <s:v>1873</s:v>
      </s:c>
      <s:c r="B997" t="s">
        <s:v>2022</s:v>
      </s:c>
      <s:c r="C997">
        <s:v>5</s:v>
      </s:c>
      <s:c r="D997" t="s">
        <s:v>2023</s:v>
      </s:c>
    </s:row>
    <s:row x14ac:dyDescent="0.2" r="998" spans="1:4">
      <s:c r="A998" t="s">
        <s:v>1873</s:v>
      </s:c>
      <s:c r="B998" t="s">
        <s:v>2024</s:v>
      </s:c>
      <s:c r="C998">
        <s:v>11</s:v>
      </s:c>
      <s:c r="D998" t="s">
        <s:v>2025</s:v>
      </s:c>
    </s:row>
    <s:row x14ac:dyDescent="0.2" r="999" spans="1:4">
      <s:c r="A999" t="s">
        <s:v>1873</s:v>
      </s:c>
      <s:c r="B999" t="s">
        <s:v>2026</s:v>
      </s:c>
      <s:c r="C999">
        <s:v>14</s:v>
      </s:c>
      <s:c r="D999" t="s">
        <s:v>2027</s:v>
      </s:c>
    </s:row>
    <s:row x14ac:dyDescent="0.2" r="1000" spans="1:4">
      <s:c r="A1000" t="s">
        <s:v>1873</s:v>
      </s:c>
      <s:c r="B1000" t="s">
        <s:v>2028</s:v>
      </s:c>
      <s:c r="C1000">
        <s:v>2.8</s:v>
      </s:c>
      <s:c r="D1000" t="s">
        <s:v>2029</s:v>
      </s:c>
    </s:row>
    <s:row x14ac:dyDescent="0.2" r="1001" spans="1:4">
      <s:c r="A1001" t="s">
        <s:v>1873</s:v>
      </s:c>
      <s:c r="B1001" t="s">
        <s:v>2030</s:v>
      </s:c>
      <s:c r="C1001">
        <s:v>4.8</s:v>
      </s:c>
      <s:c r="D1001" t="s">
        <s:v>2031</s:v>
      </s:c>
    </s:row>
    <s:row x14ac:dyDescent="0.2" r="1002" spans="1:4">
      <s:c r="A1002" t="s">
        <s:v>1873</s:v>
      </s:c>
      <s:c r="B1002" t="s">
        <s:v>2032</s:v>
      </s:c>
      <s:c r="C1002">
        <s:v>3.8</s:v>
      </s:c>
      <s:c r="D1002" t="s">
        <s:v>2033</s:v>
      </s:c>
    </s:row>
    <s:row x14ac:dyDescent="0.2" r="1003" spans="1:4">
      <s:c r="A1003" t="s">
        <s:v>1873</s:v>
      </s:c>
      <s:c r="B1003" t="s">
        <s:v>2034</s:v>
      </s:c>
      <s:c r="C1003">
        <s:v>6</s:v>
      </s:c>
      <s:c r="D1003" t="s">
        <s:v>2035</s:v>
      </s:c>
    </s:row>
    <s:row x14ac:dyDescent="0.2" r="1004" spans="1:4">
      <s:c r="A1004" t="s">
        <s:v>1873</s:v>
      </s:c>
      <s:c r="B1004" t="s">
        <s:v>2036</s:v>
      </s:c>
      <s:c r="C1004">
        <s:v>5</s:v>
      </s:c>
      <s:c r="D1004" t="s">
        <s:v>2037</s:v>
      </s:c>
    </s:row>
    <s:row x14ac:dyDescent="0.2" r="1005" spans="1:4">
      <s:c r="A1005" t="s">
        <s:v>1873</s:v>
      </s:c>
      <s:c r="B1005" t="s">
        <s:v>2038</s:v>
      </s:c>
      <s:c r="C1005">
        <s:v>6.3</s:v>
      </s:c>
      <s:c r="D1005" t="s">
        <s:v>2039</s:v>
      </s:c>
    </s:row>
    <s:row x14ac:dyDescent="0.2" r="1006" spans="1:4">
      <s:c r="A1006" t="s">
        <s:v>1873</s:v>
      </s:c>
      <s:c r="B1006" t="s">
        <s:v>2040</s:v>
      </s:c>
      <s:c r="C1006">
        <s:v>6.3</s:v>
      </s:c>
      <s:c r="D1006" t="s">
        <s:v>2041</s:v>
      </s:c>
    </s:row>
    <s:row x14ac:dyDescent="0.2" r="1007" spans="1:4">
      <s:c r="A1007" t="s">
        <s:v>1873</s:v>
      </s:c>
      <s:c r="B1007" t="s">
        <s:v>2042</s:v>
      </s:c>
      <s:c r="C1007">
        <s:v>7.5</s:v>
      </s:c>
      <s:c r="D1007" t="s">
        <s:v>2043</s:v>
      </s:c>
    </s:row>
    <s:row x14ac:dyDescent="0.2" r="1008" spans="1:4">
      <s:c r="A1008" t="s">
        <s:v>1873</s:v>
      </s:c>
      <s:c r="B1008" t="s">
        <s:v>2044</s:v>
      </s:c>
      <s:c r="C1008">
        <s:v>8.5</s:v>
      </s:c>
      <s:c r="D1008" t="s">
        <s:v>2045</s:v>
      </s:c>
    </s:row>
    <s:row x14ac:dyDescent="0.2" r="1009" spans="1:4">
      <s:c r="A1009" t="s">
        <s:v>1873</s:v>
      </s:c>
      <s:c r="B1009" t="s">
        <s:v>2046</s:v>
      </s:c>
      <s:c r="C1009">
        <s:v>10.3</s:v>
      </s:c>
      <s:c r="D1009" t="s">
        <s:v>2047</s:v>
      </s:c>
    </s:row>
    <s:row x14ac:dyDescent="0.2" r="1010" spans="1:4">
      <s:c r="A1010" t="s">
        <s:v>2048</s:v>
      </s:c>
      <s:c r="B1010" t="s">
        <s:v>2049</s:v>
      </s:c>
      <s:c r="C1010">
        <s:v>7.5</s:v>
      </s:c>
      <s:c r="D1010" t="s">
        <s:v>2050</s:v>
      </s:c>
    </s:row>
    <s:row x14ac:dyDescent="0.2" r="1011" spans="1:4">
      <s:c r="A1011" t="s">
        <s:v>2048</s:v>
      </s:c>
      <s:c r="B1011" t="s">
        <s:v>2051</s:v>
      </s:c>
      <s:c r="C1011">
        <s:v>2.5</s:v>
      </s:c>
      <s:c r="D1011" t="s">
        <s:v>2052</s:v>
      </s:c>
    </s:row>
    <s:row x14ac:dyDescent="0.2" r="1012" spans="1:4">
      <s:c r="A1012" t="s">
        <s:v>2048</s:v>
      </s:c>
      <s:c r="B1012" t="s">
        <s:v>2053</s:v>
      </s:c>
      <s:c r="C1012">
        <s:v>6</s:v>
      </s:c>
      <s:c r="D1012" t="s">
        <s:v>2054</s:v>
      </s:c>
    </s:row>
    <s:row x14ac:dyDescent="0.2" r="1013" spans="1:4">
      <s:c r="A1013" t="s">
        <s:v>2048</s:v>
      </s:c>
      <s:c r="B1013" t="s">
        <s:v>2055</s:v>
      </s:c>
      <s:c r="C1013">
        <s:v>2</s:v>
      </s:c>
      <s:c r="D1013" t="s">
        <s:v>2056</s:v>
      </s:c>
    </s:row>
    <s:row x14ac:dyDescent="0.2" r="1014" spans="1:4">
      <s:c r="A1014" t="s">
        <s:v>2048</s:v>
      </s:c>
      <s:c r="B1014" t="s">
        <s:v>2057</s:v>
      </s:c>
      <s:c r="C1014">
        <s:v>14</s:v>
      </s:c>
      <s:c r="D1014" t="s">
        <s:v>2058</s:v>
      </s:c>
    </s:row>
    <s:row x14ac:dyDescent="0.2" r="1015" spans="1:4">
      <s:c r="A1015" t="s">
        <s:v>2048</s:v>
      </s:c>
      <s:c r="B1015" t="s">
        <s:v>2059</s:v>
      </s:c>
      <s:c r="C1015">
        <s:v>5.5</s:v>
      </s:c>
      <s:c r="D1015" t="s">
        <s:v>2060</s:v>
      </s:c>
    </s:row>
    <s:row x14ac:dyDescent="0.2" r="1016" spans="1:4">
      <s:c r="A1016" t="s">
        <s:v>2048</s:v>
      </s:c>
      <s:c r="B1016" t="s">
        <s:v>2061</s:v>
      </s:c>
      <s:c r="C1016">
        <s:v>7</s:v>
      </s:c>
      <s:c r="D1016" t="s">
        <s:v>2062</s:v>
      </s:c>
    </s:row>
    <s:row x14ac:dyDescent="0.2" r="1017" spans="1:4">
      <s:c r="A1017" t="s">
        <s:v>2048</s:v>
      </s:c>
      <s:c r="B1017" t="s">
        <s:v>2063</s:v>
      </s:c>
      <s:c r="C1017">
        <s:v>9</s:v>
      </s:c>
      <s:c r="D1017" t="s">
        <s:v>2064</s:v>
      </s:c>
    </s:row>
    <s:row x14ac:dyDescent="0.2" r="1018" spans="1:4">
      <s:c r="A1018" t="s">
        <s:v>2048</s:v>
      </s:c>
      <s:c r="B1018" t="s">
        <s:v>2065</s:v>
      </s:c>
      <s:c r="C1018">
        <s:v>9</s:v>
      </s:c>
      <s:c r="D1018" t="s">
        <s:v>2066</s:v>
      </s:c>
    </s:row>
    <s:row x14ac:dyDescent="0.2" r="1019" spans="1:4">
      <s:c r="A1019" t="s">
        <s:v>2048</s:v>
      </s:c>
      <s:c r="B1019" t="s">
        <s:v>2067</s:v>
      </s:c>
      <s:c r="C1019">
        <s:v>10</s:v>
      </s:c>
      <s:c r="D1019" t="s">
        <s:v>2068</s:v>
      </s:c>
    </s:row>
    <s:row x14ac:dyDescent="0.2" r="1020" spans="1:4">
      <s:c r="A1020" t="s">
        <s:v>2048</s:v>
      </s:c>
      <s:c r="B1020" t="s">
        <s:v>2069</s:v>
      </s:c>
      <s:c r="C1020">
        <s:v>10.5</s:v>
      </s:c>
      <s:c r="D1020" t="s">
        <s:v>2070</s:v>
      </s:c>
    </s:row>
    <s:row x14ac:dyDescent="0.2" r="1021" spans="1:4">
      <s:c r="A1021" t="s">
        <s:v>2048</s:v>
      </s:c>
      <s:c r="B1021" t="s">
        <s:v>2071</s:v>
      </s:c>
      <s:c r="C1021">
        <s:v>11</s:v>
      </s:c>
      <s:c r="D1021" t="s">
        <s:v>2072</s:v>
      </s:c>
    </s:row>
    <s:row x14ac:dyDescent="0.2" r="1022" spans="1:4">
      <s:c r="A1022" t="s">
        <s:v>2048</s:v>
      </s:c>
      <s:c r="B1022" t="s">
        <s:v>2073</s:v>
      </s:c>
      <s:c r="C1022">
        <s:v>13.8</s:v>
      </s:c>
      <s:c r="D1022" t="s">
        <s:v>2074</s:v>
      </s:c>
    </s:row>
    <s:row x14ac:dyDescent="0.2" r="1023" spans="1:4">
      <s:c r="A1023" t="s">
        <s:v>2048</s:v>
      </s:c>
      <s:c r="B1023" t="s">
        <s:v>2075</s:v>
      </s:c>
      <s:c r="C1023">
        <s:v>7</s:v>
      </s:c>
      <s:c r="D1023" t="s">
        <s:v>2076</s:v>
      </s:c>
    </s:row>
    <s:row x14ac:dyDescent="0.2" r="1024" spans="1:4">
      <s:c r="A1024" t="s">
        <s:v>2048</s:v>
      </s:c>
      <s:c r="B1024" t="s">
        <s:v>2077</s:v>
      </s:c>
      <s:c r="C1024">
        <s:v>7</s:v>
      </s:c>
      <s:c r="D1024" t="s">
        <s:v>2078</s:v>
      </s:c>
    </s:row>
    <s:row x14ac:dyDescent="0.2" r="1025" spans="1:4">
      <s:c r="A1025" t="s">
        <s:v>2048</s:v>
      </s:c>
      <s:c r="B1025" t="s">
        <s:v>2079</s:v>
      </s:c>
      <s:c r="C1025">
        <s:v>6.8</s:v>
      </s:c>
      <s:c r="D1025" t="s">
        <s:v>2080</s:v>
      </s:c>
    </s:row>
    <s:row x14ac:dyDescent="0.2" r="1026" spans="1:4">
      <s:c r="A1026" t="s">
        <s:v>2048</s:v>
      </s:c>
      <s:c r="B1026" t="s">
        <s:v>2081</s:v>
      </s:c>
      <s:c r="C1026">
        <s:v>8.5</s:v>
      </s:c>
      <s:c r="D1026" t="s">
        <s:v>2082</s:v>
      </s:c>
    </s:row>
    <s:row x14ac:dyDescent="0.2" r="1027" spans="1:4">
      <s:c r="A1027" t="s">
        <s:v>2048</s:v>
      </s:c>
      <s:c r="B1027" t="s">
        <s:v>2083</s:v>
      </s:c>
      <s:c r="C1027">
        <s:v>11.3</s:v>
      </s:c>
      <s:c r="D1027" t="s">
        <s:v>2084</s:v>
      </s:c>
    </s:row>
    <s:row x14ac:dyDescent="0.2" r="1028" spans="1:4">
      <s:c r="A1028" t="s">
        <s:v>2048</s:v>
      </s:c>
      <s:c r="B1028" t="s">
        <s:v>2085</s:v>
      </s:c>
      <s:c r="C1028">
        <s:v>14</s:v>
      </s:c>
      <s:c r="D1028" t="s">
        <s:v>2086</s:v>
      </s:c>
    </s:row>
    <s:row x14ac:dyDescent="0.2" r="1029" spans="1:4">
      <s:c r="A1029" t="s">
        <s:v>2048</s:v>
      </s:c>
      <s:c r="B1029" t="s">
        <s:v>2087</s:v>
      </s:c>
      <s:c r="C1029">
        <s:v>16</s:v>
      </s:c>
      <s:c r="D1029" t="s">
        <s:v>2088</s:v>
      </s:c>
    </s:row>
    <s:row x14ac:dyDescent="0.2" r="1030" spans="1:4">
      <s:c r="A1030" t="s">
        <s:v>2048</s:v>
      </s:c>
      <s:c r="B1030" t="s">
        <s:v>2089</s:v>
      </s:c>
      <s:c r="C1030">
        <s:v>9.5</s:v>
      </s:c>
      <s:c r="D1030" t="s">
        <s:v>2090</s:v>
      </s:c>
    </s:row>
    <s:row x14ac:dyDescent="0.2" r="1031" spans="1:4">
      <s:c r="A1031" t="s">
        <s:v>2048</s:v>
      </s:c>
      <s:c r="B1031" t="s">
        <s:v>2091</s:v>
      </s:c>
      <s:c r="C1031">
        <s:v>15.5</s:v>
      </s:c>
      <s:c r="D1031" t="s">
        <s:v>2092</s:v>
      </s:c>
    </s:row>
    <s:row x14ac:dyDescent="0.2" r="1032" spans="1:4">
      <s:c r="A1032" t="s">
        <s:v>2048</s:v>
      </s:c>
      <s:c r="B1032" t="s">
        <s:v>2093</s:v>
      </s:c>
      <s:c r="C1032">
        <s:v>13.3</s:v>
      </s:c>
      <s:c r="D1032" t="s">
        <s:v>2094</s:v>
      </s:c>
    </s:row>
    <s:row x14ac:dyDescent="0.2" r="1033" spans="1:4">
      <s:c r="A1033" t="s">
        <s:v>2048</s:v>
      </s:c>
      <s:c r="B1033" t="s">
        <s:v>2095</s:v>
      </s:c>
      <s:c r="C1033">
        <s:v>13.5</s:v>
      </s:c>
      <s:c r="D1033" t="s">
        <s:v>2096</s:v>
      </s:c>
    </s:row>
    <s:row x14ac:dyDescent="0.2" r="1034" spans="1:4">
      <s:c r="A1034" t="s">
        <s:v>2048</s:v>
      </s:c>
      <s:c r="B1034" t="s">
        <s:v>2097</s:v>
      </s:c>
      <s:c r="C1034">
        <s:v>12.8</s:v>
      </s:c>
      <s:c r="D1034" t="s">
        <s:v>2098</s:v>
      </s:c>
    </s:row>
    <s:row x14ac:dyDescent="0.2" r="1035" spans="1:4">
      <s:c r="A1035" t="s">
        <s:v>2048</s:v>
      </s:c>
      <s:c r="B1035" t="s">
        <s:v>2099</s:v>
      </s:c>
      <s:c r="C1035">
        <s:v>12.8</s:v>
      </s:c>
      <s:c r="D1035" t="s">
        <s:v>2100</s:v>
      </s:c>
    </s:row>
    <s:row x14ac:dyDescent="0.2" r="1036" spans="1:4">
      <s:c r="A1036" t="s">
        <s:v>2048</s:v>
      </s:c>
      <s:c r="B1036" t="s">
        <s:v>2101</s:v>
      </s:c>
      <s:c r="C1036">
        <s:v>9.3000000000000007</s:v>
      </s:c>
      <s:c r="D1036" t="s">
        <s:v>2102</s:v>
      </s:c>
    </s:row>
    <s:row x14ac:dyDescent="0.2" r="1037" spans="1:4">
      <s:c r="A1037" t="s">
        <s:v>2048</s:v>
      </s:c>
      <s:c r="B1037" t="s">
        <s:v>2103</s:v>
      </s:c>
      <s:c r="C1037">
        <s:v>4.3</s:v>
      </s:c>
      <s:c r="D1037" t="s">
        <s:v>2104</s:v>
      </s:c>
    </s:row>
    <s:row x14ac:dyDescent="0.2" r="1038" spans="1:4">
      <s:c r="A1038" t="s">
        <s:v>2048</s:v>
      </s:c>
      <s:c r="B1038" t="s">
        <s:v>2105</s:v>
      </s:c>
      <s:c r="C1038">
        <s:v>6.3</s:v>
      </s:c>
      <s:c r="D1038" t="s">
        <s:v>2106</s:v>
      </s:c>
    </s:row>
    <s:row x14ac:dyDescent="0.2" r="1039" spans="1:4">
      <s:c r="A1039" t="s">
        <s:v>2048</s:v>
      </s:c>
      <s:c r="B1039" t="s">
        <s:v>2107</s:v>
      </s:c>
      <s:c r="C1039">
        <s:v>8</s:v>
      </s:c>
      <s:c r="D1039" t="s">
        <s:v>2108</s:v>
      </s:c>
    </s:row>
    <s:row x14ac:dyDescent="0.2" r="1040" spans="1:4">
      <s:c r="A1040" t="s">
        <s:v>2048</s:v>
      </s:c>
      <s:c r="B1040" t="s">
        <s:v>2109</s:v>
      </s:c>
      <s:c r="C1040">
        <s:v>7.3</s:v>
      </s:c>
      <s:c r="D1040" t="s">
        <s:v>2110</s:v>
      </s:c>
    </s:row>
    <s:row x14ac:dyDescent="0.2" r="1041" spans="1:4">
      <s:c r="A1041" t="s">
        <s:v>2048</s:v>
      </s:c>
      <s:c r="B1041" t="s">
        <s:v>2111</s:v>
      </s:c>
      <s:c r="C1041">
        <s:v>7</s:v>
      </s:c>
      <s:c r="D1041" t="s">
        <s:v>2112</s:v>
      </s:c>
    </s:row>
    <s:row x14ac:dyDescent="0.2" r="1042" spans="1:4">
      <s:c r="A1042" t="s">
        <s:v>2048</s:v>
      </s:c>
      <s:c r="B1042" t="s">
        <s:v>2113</s:v>
      </s:c>
      <s:c r="C1042">
        <s:v>5.3</s:v>
      </s:c>
      <s:c r="D1042" t="s">
        <s:v>2114</s:v>
      </s:c>
    </s:row>
    <s:row x14ac:dyDescent="0.2" r="1043" spans="1:4">
      <s:c r="A1043" t="s">
        <s:v>2048</s:v>
      </s:c>
      <s:c r="B1043" t="s">
        <s:v>2115</s:v>
      </s:c>
      <s:c r="C1043">
        <s:v>10</s:v>
      </s:c>
      <s:c r="D1043" t="s">
        <s:v>2116</s:v>
      </s:c>
    </s:row>
    <s:row x14ac:dyDescent="0.2" r="1044" spans="1:4">
      <s:c r="A1044" t="s">
        <s:v>2048</s:v>
      </s:c>
      <s:c r="B1044" t="s">
        <s:v>2117</s:v>
      </s:c>
      <s:c r="C1044">
        <s:v>3.8</s:v>
      </s:c>
      <s:c r="D1044" t="s">
        <s:v>2118</s:v>
      </s:c>
    </s:row>
    <s:row x14ac:dyDescent="0.2" r="1045" spans="1:4">
      <s:c r="A1045" t="s">
        <s:v>2048</s:v>
      </s:c>
      <s:c r="B1045" t="s">
        <s:v>2119</s:v>
      </s:c>
      <s:c r="C1045">
        <s:v>7.5</s:v>
      </s:c>
      <s:c r="D1045" t="s">
        <s:v>2120</s:v>
      </s:c>
    </s:row>
    <s:row x14ac:dyDescent="0.2" r="1046" spans="1:4">
      <s:c r="A1046" t="s">
        <s:v>2048</s:v>
      </s:c>
      <s:c r="B1046" t="s">
        <s:v>2121</s:v>
      </s:c>
      <s:c r="C1046">
        <s:v>2</s:v>
      </s:c>
      <s:c r="D1046" t="s">
        <s:v>2122</s:v>
      </s:c>
    </s:row>
    <s:row x14ac:dyDescent="0.2" r="1047" spans="1:4">
      <s:c r="A1047" t="s">
        <s:v>2048</s:v>
      </s:c>
      <s:c r="B1047" t="s">
        <s:v>2123</s:v>
      </s:c>
      <s:c r="C1047">
        <s:v>5.3</s:v>
      </s:c>
      <s:c r="D1047" t="s">
        <s:v>2124</s:v>
      </s:c>
    </s:row>
    <s:row x14ac:dyDescent="0.2" r="1048" spans="1:4">
      <s:c r="A1048" t="s">
        <s:v>2048</s:v>
      </s:c>
      <s:c r="B1048" t="s">
        <s:v>2125</s:v>
      </s:c>
      <s:c r="C1048">
        <s:v>7.5</s:v>
      </s:c>
      <s:c r="D1048" t="s">
        <s:v>2126</s:v>
      </s:c>
    </s:row>
    <s:row x14ac:dyDescent="0.2" r="1049" spans="1:4">
      <s:c r="A1049" t="s">
        <s:v>2048</s:v>
      </s:c>
      <s:c r="B1049" t="s">
        <s:v>2127</s:v>
      </s:c>
      <s:c r="C1049">
        <s:v>2.5</s:v>
      </s:c>
      <s:c r="D1049" t="s">
        <s:v>2128</s:v>
      </s:c>
    </s:row>
    <s:row x14ac:dyDescent="0.2" r="1050" spans="1:4">
      <s:c r="A1050" t="s">
        <s:v>2048</s:v>
      </s:c>
      <s:c r="B1050" t="s">
        <s:v>2129</s:v>
      </s:c>
      <s:c r="C1050">
        <s:v>12.5</s:v>
      </s:c>
      <s:c r="D1050" t="s">
        <s:v>2130</s:v>
      </s:c>
    </s:row>
    <s:row x14ac:dyDescent="0.2" r="1051" spans="1:4">
      <s:c r="A1051" t="s">
        <s:v>2048</s:v>
      </s:c>
      <s:c r="B1051" t="s">
        <s:v>2131</s:v>
      </s:c>
      <s:c r="C1051">
        <s:v>5.5</s:v>
      </s:c>
      <s:c r="D1051" t="s">
        <s:v>2132</s:v>
      </s:c>
    </s:row>
    <s:row x14ac:dyDescent="0.2" r="1052" spans="1:4">
      <s:c r="A1052" t="s">
        <s:v>2048</s:v>
      </s:c>
      <s:c r="B1052" t="s">
        <s:v>2133</s:v>
      </s:c>
      <s:c r="C1052">
        <s:v>6.8</s:v>
      </s:c>
      <s:c r="D1052" t="s">
        <s:v>2134</s:v>
      </s:c>
    </s:row>
    <s:row x14ac:dyDescent="0.2" r="1053" spans="1:4">
      <s:c r="A1053" t="s">
        <s:v>2048</s:v>
      </s:c>
      <s:c r="B1053" t="s">
        <s:v>2135</s:v>
      </s:c>
      <s:c r="C1053">
        <s:v>8.3000000000000007</s:v>
      </s:c>
      <s:c r="D1053" t="s">
        <s:v>2136</s:v>
      </s:c>
    </s:row>
    <s:row x14ac:dyDescent="0.2" r="1054" spans="1:4">
      <s:c r="A1054" t="s">
        <s:v>2048</s:v>
      </s:c>
      <s:c r="B1054" t="s">
        <s:v>2137</s:v>
      </s:c>
      <s:c r="C1054">
        <s:v>10.5</s:v>
      </s:c>
      <s:c r="D1054" t="s">
        <s:v>2138</s:v>
      </s:c>
    </s:row>
    <s:row x14ac:dyDescent="0.2" r="1055" spans="1:4">
      <s:c r="A1055" t="s">
        <s:v>2048</s:v>
      </s:c>
      <s:c r="B1055" t="s">
        <s:v>2139</s:v>
      </s:c>
      <s:c r="C1055">
        <s:v>15</s:v>
      </s:c>
      <s:c r="D1055" t="s">
        <s:v>2140</s:v>
      </s:c>
    </s:row>
    <s:row x14ac:dyDescent="0.2" r="1056" spans="1:4">
      <s:c r="A1056" t="s">
        <s:v>2048</s:v>
      </s:c>
      <s:c r="B1056" t="s">
        <s:v>2141</s:v>
      </s:c>
      <s:c r="C1056">
        <s:v>12.5</s:v>
      </s:c>
      <s:c r="D1056" t="s">
        <s:v>2142</s:v>
      </s:c>
    </s:row>
    <s:row x14ac:dyDescent="0.2" r="1057" spans="1:4">
      <s:c r="A1057" t="s">
        <s:v>2048</s:v>
      </s:c>
      <s:c r="B1057" t="s">
        <s:v>2143</s:v>
      </s:c>
      <s:c r="C1057">
        <s:v>14.3</s:v>
      </s:c>
      <s:c r="D1057" t="s">
        <s:v>2144</s:v>
      </s:c>
    </s:row>
    <s:row x14ac:dyDescent="0.2" r="1058" spans="1:4">
      <s:c r="A1058" t="s">
        <s:v>2048</s:v>
      </s:c>
      <s:c r="B1058" t="s">
        <s:v>2145</s:v>
      </s:c>
      <s:c r="C1058">
        <s:v>12.3</s:v>
      </s:c>
      <s:c r="D1058" t="s">
        <s:v>2146</s:v>
      </s:c>
    </s:row>
    <s:row x14ac:dyDescent="0.2" r="1059" spans="1:4">
      <s:c r="A1059" t="s">
        <s:v>2048</s:v>
      </s:c>
      <s:c r="B1059" t="s">
        <s:v>2147</s:v>
      </s:c>
      <s:c r="C1059">
        <s:v>16</s:v>
      </s:c>
      <s:c r="D1059" t="s">
        <s:v>2148</s:v>
      </s:c>
    </s:row>
    <s:row x14ac:dyDescent="0.2" r="1060" spans="1:4">
      <s:c r="A1060" t="s">
        <s:v>2048</s:v>
      </s:c>
      <s:c r="B1060" t="s">
        <s:v>2149</s:v>
      </s:c>
      <s:c r="C1060">
        <s:v>9</s:v>
      </s:c>
      <s:c r="D1060" t="s">
        <s:v>2150</s:v>
      </s:c>
    </s:row>
    <s:row x14ac:dyDescent="0.2" r="1061" spans="1:4">
      <s:c r="A1061" t="s">
        <s:v>2048</s:v>
      </s:c>
      <s:c r="B1061" t="s">
        <s:v>2151</s:v>
      </s:c>
      <s:c r="C1061">
        <s:v>10.3</s:v>
      </s:c>
      <s:c r="D1061" t="s">
        <s:v>2152</s:v>
      </s:c>
    </s:row>
  </s:sheetData>
  <s:autoFilter xr:uid="{00000000-0009-0000-0000-000001000000}" ref="A1:D1061"/>
  <s:pageMargins left="0.75" right="0.75" top="1" bottom="1" header="0.5" footer="0.5"/>
</s:worksheet>
</file>

<file path=xl/worksheets/sheet3.xml><?xml version="1.0" encoding="utf-8"?>
<s:worksheet xmlns:x14ac="http://schemas.microsoft.com/office/spreadsheetml/2009/9/ac" xmlns:mc="http://schemas.openxmlformats.org/markup-compatibility/2006" xmlns:xr3="http://schemas.microsoft.com/office/spreadsheetml/2016/revision3" xmlns:xr2="http://schemas.microsoft.com/office/spreadsheetml/2015/revision2" xmlns:s="http://schemas.openxmlformats.org/spreadsheetml/2006/main" xmlns:xr="http://schemas.microsoft.com/office/spreadsheetml/2014/revision" mc:Ignorable="x14ac xr xr2 xr3" xr:uid="{00000000-0001-0000-0200-000000000000}">
  <s:dimension ref="A1:E1061"/>
  <s:sheetViews>
    <s:sheetView tabSelected="0" workbookViewId="0">
      <s:pane ySplit="1" topLeftCell="A2" activePane="bottomLeft" state="frozen"/>
      <s:selection pane="bottomLeft"/>
    </s:sheetView>
  </s:sheetViews>
  <s:sheetFormatPr x14ac:dyDescent="0.2" baseColWidth="10" defaultColWidth="8.832" defaultRowHeight="15"/>
  <s:cols>
    <s:col min="1" max="1" width="24" customWidth="1"/>
    <s:col min="2" max="2" width="12" customWidth="1"/>
    <s:col min="3" max="3" width="110" customWidth="1"/>
    <s:col min="4" max="4" width="10" customWidth="1"/>
    <s:col min="5" max="5" width="24" customWidth="1"/>
  </s:cols>
  <s:sheetData>
    <s:row r="1">
      <s:c r="A1" s="6" t="s">
        <s:v>12</s:v>
      </s:c>
      <s:c r="B1" s="6" t="s">
        <s:v>13</s:v>
      </s:c>
      <s:c r="C1" s="6" t="s">
        <s:v>14</s:v>
      </s:c>
      <s:c r="D1" s="6" t="s">
        <s:v>4</s:v>
      </s:c>
      <s:c r="E1" s="6" t="s">
        <s:v>2153</s:v>
      </s:c>
    </s:row>
    <s:row r="2">
      <s:c r="A2" t="s">
        <s:v>15</s:v>
      </s:c>
      <s:c r="B2" t="s">
        <s:v>16</s:v>
      </s:c>
      <s:c r="C2" t="s">
        <s:v>3</s:v>
      </s:c>
      <s:c r="D2">
        <s:v>14</s:v>
      </s:c>
      <s:c r="E2">
        <s:f>D2*3.5*70/200</s:f>
        <s:v>17.149999999999999</s:v>
      </s:c>
    </s:row>
    <s:row r="3">
      <s:c r="A3" t="s">
        <s:v>15</s:v>
      </s:c>
      <s:c r="B3" t="s">
        <s:v>17</s:v>
      </s:c>
      <s:c r="C3" t="s">
        <s:v>18</s:v>
      </s:c>
      <s:c r="D3">
        <s:v>16</s:v>
      </s:c>
      <s:c r="E3">
        <s:f>D3*3.5*70/200</s:f>
        <s:v>19.600000000000001</s:v>
      </s:c>
    </s:row>
    <s:row r="4">
      <s:c r="A4" t="s">
        <s:v>15</s:v>
      </s:c>
      <s:c r="B4" t="s">
        <s:v>19</s:v>
      </s:c>
      <s:c r="C4" t="s">
        <s:v>20</s:v>
      </s:c>
      <s:c r="D4">
        <s:v>8.5</s:v>
      </s:c>
      <s:c r="E4">
        <s:f>D4*3.5*70/200</s:f>
        <s:v>10.4125</s:v>
      </s:c>
    </s:row>
    <s:row r="5">
      <s:c r="A5" t="s">
        <s:v>15</s:v>
      </s:c>
      <s:c r="B5" t="s">
        <s:v>21</s:v>
      </s:c>
      <s:c r="C5" t="s">
        <s:v>22</s:v>
      </s:c>
      <s:c r="D5">
        <s:v>8.5</s:v>
      </s:c>
      <s:c r="E5">
        <s:f>D5*3.5*70/200</s:f>
        <s:v>10.4125</s:v>
      </s:c>
    </s:row>
    <s:row r="6">
      <s:c r="A6" t="s">
        <s:v>15</s:v>
      </s:c>
      <s:c r="B6" t="s">
        <s:v>23</s:v>
      </s:c>
      <s:c r="C6" t="s">
        <s:v>24</s:v>
      </s:c>
      <s:c r="D6">
        <s:v>4</s:v>
      </s:c>
      <s:c r="E6">
        <s:f>D6*3.5*70/200</s:f>
        <s:v>4.9000000000000004</s:v>
      </s:c>
    </s:row>
    <s:row r="7">
      <s:c r="A7" t="s">
        <s:v>15</s:v>
      </s:c>
      <s:c r="B7" t="s">
        <s:v>25</s:v>
      </s:c>
      <s:c r="C7" t="s">
        <s:v>26</s:v>
      </s:c>
      <s:c r="D7">
        <s:v>6.8</s:v>
      </s:c>
      <s:c r="E7">
        <s:f>D7*3.5*70/200</s:f>
        <s:v>8.33</s:v>
      </s:c>
    </s:row>
    <s:row r="8">
      <s:c r="A8" t="s">
        <s:v>15</s:v>
      </s:c>
      <s:c r="B8" t="s">
        <s:v>27</s:v>
      </s:c>
      <s:c r="C8" t="s">
        <s:v>28</s:v>
      </s:c>
      <s:c r="D8">
        <s:v>5.8</s:v>
      </s:c>
      <s:c r="E8">
        <s:f>D8*3.5*70/200</s:f>
        <s:v>7.1050000000000004</s:v>
      </s:c>
    </s:row>
    <s:row r="9">
      <s:c r="A9" t="s">
        <s:v>15</s:v>
      </s:c>
      <s:c r="B9" t="s">
        <s:v>29</s:v>
      </s:c>
      <s:c r="C9" t="s">
        <s:v>30</s:v>
      </s:c>
      <s:c r="D9">
        <s:v>7</s:v>
      </s:c>
      <s:c r="E9">
        <s:f>D9*3.5*70/200</s:f>
        <s:v>8.5749999999999993</s:v>
      </s:c>
    </s:row>
    <s:row r="10">
      <s:c r="A10" t="s">
        <s:v>15</s:v>
      </s:c>
      <s:c r="B10" t="s">
        <s:v>31</s:v>
      </s:c>
      <s:c r="C10" t="s">
        <s:v>32</s:v>
      </s:c>
      <s:c r="D10">
        <s:v>4.3</s:v>
      </s:c>
      <s:c r="E10">
        <s:f>D10*3.5*70/200</s:f>
        <s:v>5.2675000000000001</s:v>
      </s:c>
    </s:row>
    <s:row r="11">
      <s:c r="A11" t="s">
        <s:v>15</s:v>
      </s:c>
      <s:c r="B11" t="s">
        <s:v>33</s:v>
      </s:c>
      <s:c r="C11" t="s">
        <s:v>34</s:v>
      </s:c>
      <s:c r="D11">
        <s:v>7</s:v>
      </s:c>
      <s:c r="E11">
        <s:f>D11*3.5*70/200</s:f>
        <s:v>8.5749999999999993</s:v>
      </s:c>
    </s:row>
    <s:row r="12">
      <s:c r="A12" t="s">
        <s:v>15</s:v>
      </s:c>
      <s:c r="B12" t="s">
        <s:v>35</s:v>
      </s:c>
      <s:c r="C12" t="s">
        <s:v>36</s:v>
      </s:c>
      <s:c r="D12">
        <s:v>9</s:v>
      </s:c>
      <s:c r="E12">
        <s:f>D12*3.5*70/200</s:f>
        <s:v>11.025</s:v>
      </s:c>
    </s:row>
    <s:row r="13">
      <s:c r="A13" t="s">
        <s:v>15</s:v>
      </s:c>
      <s:c r="B13" t="s">
        <s:v>37</s:v>
      </s:c>
      <s:c r="C13" t="s">
        <s:v>38</s:v>
      </s:c>
      <s:c r="D13">
        <s:v>3.5</s:v>
      </s:c>
      <s:c r="E13">
        <s:f>D13*3.5*70/200</s:f>
        <s:v>4.2874999999999996</s:v>
      </s:c>
    </s:row>
    <s:row r="14">
      <s:c r="A14" t="s">
        <s:v>15</s:v>
      </s:c>
      <s:c r="B14" t="s">
        <s:v>39</s:v>
      </s:c>
      <s:c r="C14" t="s">
        <s:v>40</s:v>
      </s:c>
      <s:c r="D14">
        <s:v>5.8</s:v>
      </s:c>
      <s:c r="E14">
        <s:f>D14*3.5*70/200</s:f>
        <s:v>7.1050000000000004</s:v>
      </s:c>
    </s:row>
    <s:row r="15">
      <s:c r="A15" t="s">
        <s:v>15</s:v>
      </s:c>
      <s:c r="B15" t="s">
        <s:v>41</s:v>
      </s:c>
      <s:c r="C15" t="s">
        <s:v>42</s:v>
      </s:c>
      <s:c r="D15">
        <s:v>6.8</s:v>
      </s:c>
      <s:c r="E15">
        <s:f>D15*3.5*70/200</s:f>
        <s:v>8.33</s:v>
      </s:c>
    </s:row>
    <s:row r="16">
      <s:c r="A16" t="s">
        <s:v>15</s:v>
      </s:c>
      <s:c r="B16" t="s">
        <s:v>43</s:v>
      </s:c>
      <s:c r="C16" t="s">
        <s:v>44</s:v>
      </s:c>
      <s:c r="D16">
        <s:v>8</s:v>
      </s:c>
      <s:c r="E16">
        <s:f>D16*3.5*70/200</s:f>
        <s:v>9.8000000000000007</s:v>
      </s:c>
    </s:row>
    <s:row r="17">
      <s:c r="A17" t="s">
        <s:v>15</s:v>
      </s:c>
      <s:c r="B17" t="s">
        <s:v>45</s:v>
      </s:c>
      <s:c r="C17" t="s">
        <s:v>46</s:v>
      </s:c>
      <s:c r="D17">
        <s:v>10</s:v>
      </s:c>
      <s:c r="E17">
        <s:f>D17*3.5*70/200</s:f>
        <s:v>12.25</s:v>
      </s:c>
    </s:row>
    <s:row r="18">
      <s:c r="A18" t="s">
        <s:v>15</s:v>
      </s:c>
      <s:c r="B18" t="s">
        <s:v>47</s:v>
      </s:c>
      <s:c r="C18" t="s">
        <s:v>48</s:v>
      </s:c>
      <s:c r="D18">
        <s:v>12</s:v>
      </s:c>
      <s:c r="E18">
        <s:f>D18*3.5*70/200</s:f>
        <s:v>14.7</s:v>
      </s:c>
    </s:row>
    <s:row r="19">
      <s:c r="A19" t="s">
        <s:v>15</s:v>
      </s:c>
      <s:c r="B19" t="s">
        <s:v>49</s:v>
      </s:c>
      <s:c r="C19" t="s">
        <s:v>50</s:v>
      </s:c>
      <s:c r="D19">
        <s:v>16.8</s:v>
      </s:c>
      <s:c r="E19">
        <s:f>D19*3.5*70/200</s:f>
        <s:v>20.58</s:v>
      </s:c>
    </s:row>
    <s:row r="20">
      <s:c r="A20" t="s">
        <s:v>15</s:v>
      </s:c>
      <s:c r="B20" t="s">
        <s:v>51</s:v>
      </s:c>
      <s:c r="C20" t="s">
        <s:v>52</s:v>
      </s:c>
      <s:c r="D20">
        <s:v>8.5</s:v>
      </s:c>
      <s:c r="E20">
        <s:f>D20*3.5*70/200</s:f>
        <s:v>10.4125</s:v>
      </s:c>
    </s:row>
    <s:row r="21">
      <s:c r="A21" t="s">
        <s:v>15</s:v>
      </s:c>
      <s:c r="B21" t="s">
        <s:v>53</s:v>
      </s:c>
      <s:c r="C21" t="s">
        <s:v>54</s:v>
      </s:c>
      <s:c r="D21">
        <s:v>9</s:v>
      </s:c>
      <s:c r="E21">
        <s:f>D21*3.5*70/200</s:f>
        <s:v>11.025</s:v>
      </s:c>
    </s:row>
    <s:row r="22">
      <s:c r="A22" t="s">
        <s:v>15</s:v>
      </s:c>
      <s:c r="B22" t="s">
        <s:v>55</s:v>
      </s:c>
      <s:c r="C22" t="s">
        <s:v>56</s:v>
      </s:c>
      <s:c r="D22">
        <s:v>5</s:v>
      </s:c>
      <s:c r="E22">
        <s:f>D22*3.5*70/200</s:f>
        <s:v>6.125</s:v>
      </s:c>
    </s:row>
    <s:row r="23">
      <s:c r="A23" t="s">
        <s:v>15</s:v>
      </s:c>
      <s:c r="B23" t="s">
        <s:v>57</s:v>
      </s:c>
      <s:c r="C23" t="s">
        <s:v>58</s:v>
      </s:c>
      <s:c r="D23">
        <s:v>6.8</s:v>
      </s:c>
      <s:c r="E23">
        <s:f>D23*3.5*70/200</s:f>
        <s:v>8.33</s:v>
      </s:c>
    </s:row>
    <s:row r="24">
      <s:c r="A24" t="s">
        <s:v>15</s:v>
      </s:c>
      <s:c r="B24" t="s">
        <s:v>59</s:v>
      </s:c>
      <s:c r="C24" t="s">
        <s:v>60</s:v>
      </s:c>
      <s:c r="D24">
        <s:v>6</s:v>
      </s:c>
      <s:c r="E24">
        <s:f>D24*3.5*70/200</s:f>
        <s:v>7.35</s:v>
      </s:c>
    </s:row>
    <s:row r="25">
      <s:c r="A25" t="s">
        <s:v>15</s:v>
      </s:c>
      <s:c r="B25" t="s">
        <s:v>61</s:v>
      </s:c>
      <s:c r="C25" t="s">
        <s:v>62</s:v>
      </s:c>
      <s:c r="D25">
        <s:v>4</s:v>
      </s:c>
      <s:c r="E25">
        <s:f>D25*3.5*70/200</s:f>
        <s:v>4.9000000000000004</s:v>
      </s:c>
    </s:row>
    <s:row r="26">
      <s:c r="A26" t="s">
        <s:v>15</s:v>
      </s:c>
      <s:c r="B26" t="s">
        <s:v>63</s:v>
      </s:c>
      <s:c r="C26" t="s">
        <s:v>64</s:v>
      </s:c>
      <s:c r="D26">
        <s:v>6.8</s:v>
      </s:c>
      <s:c r="E26">
        <s:f>D26*3.5*70/200</s:f>
        <s:v>8.33</s:v>
      </s:c>
    </s:row>
    <s:row r="27">
      <s:c r="A27" t="s">
        <s:v>15</s:v>
      </s:c>
      <s:c r="B27" t="s">
        <s:v>65</s:v>
      </s:c>
      <s:c r="C27" t="s">
        <s:v>66</s:v>
      </s:c>
      <s:c r="D27">
        <s:v>3.5</s:v>
      </s:c>
      <s:c r="E27">
        <s:f>D27*3.5*70/200</s:f>
        <s:v>4.2874999999999996</s:v>
      </s:c>
    </s:row>
    <s:row r="28">
      <s:c r="A28" t="s">
        <s:v>15</s:v>
      </s:c>
      <s:c r="B28" t="s">
        <s:v>67</s:v>
      </s:c>
      <s:c r="C28" t="s">
        <s:v>68</s:v>
      </s:c>
      <s:c r="D28">
        <s:v>4</s:v>
      </s:c>
      <s:c r="E28">
        <s:f>D28*3.5*70/200</s:f>
        <s:v>4.9000000000000004</s:v>
      </s:c>
    </s:row>
    <s:row r="29">
      <s:c r="A29" t="s">
        <s:v>15</s:v>
      </s:c>
      <s:c r="B29" t="s">
        <s:v>69</s:v>
      </s:c>
      <s:c r="C29" t="s">
        <s:v>70</s:v>
      </s:c>
      <s:c r="D29">
        <s:v>5</s:v>
      </s:c>
      <s:c r="E29">
        <s:f>D29*3.5*70/200</s:f>
        <s:v>6.125</s:v>
      </s:c>
    </s:row>
    <s:row r="30">
      <s:c r="A30" t="s">
        <s:v>15</s:v>
      </s:c>
      <s:c r="B30" t="s">
        <s:v>71</s:v>
      </s:c>
      <s:c r="C30" t="s">
        <s:v>72</s:v>
      </s:c>
      <s:c r="D30">
        <s:v>5.8</s:v>
      </s:c>
      <s:c r="E30">
        <s:f>D30*3.5*70/200</s:f>
        <s:v>7.1050000000000004</s:v>
      </s:c>
    </s:row>
    <s:row r="31">
      <s:c r="A31" t="s">
        <s:v>15</s:v>
      </s:c>
      <s:c r="B31" t="s">
        <s:v>73</s:v>
      </s:c>
      <s:c r="C31" t="s">
        <s:v>74</s:v>
      </s:c>
      <s:c r="D31">
        <s:v>6</s:v>
      </s:c>
      <s:c r="E31">
        <s:f>D31*3.5*70/200</s:f>
        <s:v>7.35</s:v>
      </s:c>
    </s:row>
    <s:row r="32">
      <s:c r="A32" t="s">
        <s:v>15</s:v>
      </s:c>
      <s:c r="B32" t="s">
        <s:v>75</s:v>
      </s:c>
      <s:c r="C32" t="s">
        <s:v>76</s:v>
      </s:c>
      <s:c r="D32">
        <s:v>6.8</s:v>
      </s:c>
      <s:c r="E32">
        <s:f>D32*3.5*70/200</s:f>
        <s:v>8.33</s:v>
      </s:c>
    </s:row>
    <s:row r="33">
      <s:c r="A33" t="s">
        <s:v>15</s:v>
      </s:c>
      <s:c r="B33" t="s">
        <s:v>77</s:v>
      </s:c>
      <s:c r="C33" t="s">
        <s:v>78</s:v>
      </s:c>
      <s:c r="D33">
        <s:v>8</s:v>
      </s:c>
      <s:c r="E33">
        <s:f>D33*3.5*70/200</s:f>
        <s:v>9.8000000000000007</s:v>
      </s:c>
    </s:row>
    <s:row r="34">
      <s:c r="A34" t="s">
        <s:v>15</s:v>
      </s:c>
      <s:c r="B34" t="s">
        <s:v>79</s:v>
      </s:c>
      <s:c r="C34" t="s">
        <s:v>80</s:v>
      </s:c>
      <s:c r="D34">
        <s:v>10.3</s:v>
      </s:c>
      <s:c r="E34">
        <s:f>D34*3.5*70/200</s:f>
        <s:v>12.617500000000001</s:v>
      </s:c>
    </s:row>
    <s:row r="35">
      <s:c r="A35" t="s">
        <s:v>15</s:v>
      </s:c>
      <s:c r="B35" t="s">
        <s:v>81</s:v>
      </s:c>
      <s:c r="C35" t="s">
        <s:v>82</s:v>
      </s:c>
      <s:c r="D35">
        <s:v>10.8</s:v>
      </s:c>
      <s:c r="E35">
        <s:f>D35*3.5*70/200</s:f>
        <s:v>13.230000000000002</s:v>
      </s:c>
    </s:row>
    <s:row r="36">
      <s:c r="A36" t="s">
        <s:v>15</s:v>
      </s:c>
      <s:c r="B36" t="s">
        <s:v>83</s:v>
      </s:c>
      <s:c r="C36" t="s">
        <s:v>84</s:v>
      </s:c>
      <s:c r="D36">
        <s:v>12.5</s:v>
      </s:c>
      <s:c r="E36">
        <s:f>D36*3.5*70/200</s:f>
        <s:v>15.3125</s:v>
      </s:c>
    </s:row>
    <s:row r="37">
      <s:c r="A37" t="s">
        <s:v>15</s:v>
      </s:c>
      <s:c r="B37" t="s">
        <s:v>85</s:v>
      </s:c>
      <s:c r="C37" t="s">
        <s:v>86</s:v>
      </s:c>
      <s:c r="D37">
        <s:v>13.8</s:v>
      </s:c>
      <s:c r="E37">
        <s:f>D37*3.5*70/200</s:f>
        <s:v>16.905000000000001</s:v>
      </s:c>
    </s:row>
    <s:row r="38">
      <s:c r="A38" t="s">
        <s:v>15</s:v>
      </s:c>
      <s:c r="B38" t="s">
        <s:v>87</s:v>
      </s:c>
      <s:c r="C38" t="s">
        <s:v>88</s:v>
      </s:c>
      <s:c r="D38">
        <s:v>16.3</s:v>
      </s:c>
      <s:c r="E38">
        <s:f>D38*3.5*70/200</s:f>
        <s:v>19.967500000000001</s:v>
      </s:c>
    </s:row>
    <s:row r="39">
      <s:c r="A39" t="s">
        <s:v>15</s:v>
      </s:c>
      <s:c r="B39" t="s">
        <s:v>89</s:v>
      </s:c>
      <s:c r="C39" t="s">
        <s:v>90</s:v>
      </s:c>
      <s:c r="D39">
        <s:v>5.5</s:v>
      </s:c>
      <s:c r="E39">
        <s:f>D39*3.5*70/200</s:f>
        <s:v>6.7374999999999998</s:v>
      </s:c>
    </s:row>
    <s:row r="40">
      <s:c r="A40" t="s">
        <s:v>15</s:v>
      </s:c>
      <s:c r="B40" t="s">
        <s:v>91</s:v>
      </s:c>
      <s:c r="C40" t="s">
        <s:v>92</s:v>
      </s:c>
      <s:c r="D40">
        <s:v>11</s:v>
      </s:c>
      <s:c r="E40">
        <s:f>D40*3.5*70/200</s:f>
        <s:v>13.475</s:v>
      </s:c>
    </s:row>
    <s:row r="41">
      <s:c r="A41" t="s">
        <s:v>15</s:v>
      </s:c>
      <s:c r="B41" t="s">
        <s:v>93</s:v>
      </s:c>
      <s:c r="C41" t="s">
        <s:v>94</s:v>
      </s:c>
      <s:c r="D41">
        <s:v>2.2999999999999998</s:v>
      </s:c>
      <s:c r="E41">
        <s:f>D41*3.5*70/200</s:f>
        <s:v>2.8174999999999994</s:v>
      </s:c>
    </s:row>
    <s:row r="42">
      <s:c r="A42" t="s">
        <s:v>15</s:v>
      </s:c>
      <s:c r="B42" t="s">
        <s:v>95</s:v>
      </s:c>
      <s:c r="C42" t="s">
        <s:v>96</s:v>
      </s:c>
      <s:c r="D42">
        <s:v>4</s:v>
      </s:c>
      <s:c r="E42">
        <s:f>D42*3.5*70/200</s:f>
        <s:v>4.9000000000000004</s:v>
      </s:c>
    </s:row>
    <s:row r="43">
      <s:c r="A43" t="s">
        <s:v>15</s:v>
      </s:c>
      <s:c r="B43" t="s">
        <s:v>97</s:v>
      </s:c>
      <s:c r="C43" t="s">
        <s:v>98</s:v>
      </s:c>
      <s:c r="D43">
        <s:v>9</s:v>
      </s:c>
      <s:c r="E43">
        <s:f>D43*3.5*70/200</s:f>
        <s:v>11.025</s:v>
      </s:c>
    </s:row>
    <s:row r="44">
      <s:c r="A44" t="s">
        <s:v>15</s:v>
      </s:c>
      <s:c r="B44" t="s">
        <s:v>99</s:v>
      </s:c>
      <s:c r="C44" t="s">
        <s:v>100</s:v>
      </s:c>
      <s:c r="D44">
        <s:v>8.8000000000000007</s:v>
      </s:c>
      <s:c r="E44">
        <s:f>D44*3.5*70/200</s:f>
        <s:v>10.780000000000003</s:v>
      </s:c>
    </s:row>
    <s:row r="45">
      <s:c r="A45" t="s">
        <s:v>15</s:v>
      </s:c>
      <s:c r="B45" t="s">
        <s:v>101</s:v>
      </s:c>
      <s:c r="C45" t="s">
        <s:v>102</s:v>
      </s:c>
      <s:c r="D45">
        <s:v>8.8000000000000007</s:v>
      </s:c>
      <s:c r="E45">
        <s:f>D45*3.5*70/200</s:f>
        <s:v>10.780000000000003</s:v>
      </s:c>
    </s:row>
    <s:row r="46">
      <s:c r="A46" t="s">
        <s:v>103</s:v>
      </s:c>
      <s:c r="B46" t="s">
        <s:v>104</s:v>
      </s:c>
      <s:c r="C46" t="s">
        <s:v>105</s:v>
      </s:c>
      <s:c r="D46">
        <s:v>7.3</s:v>
      </s:c>
      <s:c r="E46">
        <s:f>D46*3.5*70/200</s:f>
        <s:v>8.9425000000000008</s:v>
      </s:c>
    </s:row>
    <s:row r="47">
      <s:c r="A47" t="s">
        <s:v>103</s:v>
      </s:c>
      <s:c r="B47" t="s">
        <s:v>106</s:v>
      </s:c>
      <s:c r="C47" t="s">
        <s:v>107</s:v>
      </s:c>
      <s:c r="D47">
        <s:v>5.5</s:v>
      </s:c>
      <s:c r="E47">
        <s:f>D47*3.5*70/200</s:f>
        <s:v>6.7374999999999998</s:v>
      </s:c>
    </s:row>
    <s:row r="48">
      <s:c r="A48" t="s">
        <s:v>103</s:v>
      </s:c>
      <s:c r="B48" t="s">
        <s:v>108</s:v>
      </s:c>
      <s:c r="C48" t="s">
        <s:v>109</s:v>
      </s:c>
      <s:c r="D48">
        <s:v>7.3</s:v>
      </s:c>
      <s:c r="E48">
        <s:f>D48*3.5*70/200</s:f>
        <s:v>8.9425000000000008</s:v>
      </s:c>
    </s:row>
    <s:row r="49">
      <s:c r="A49" t="s">
        <s:v>103</s:v>
      </s:c>
      <s:c r="B49" t="s">
        <s:v>110</s:v>
      </s:c>
      <s:c r="C49" t="s">
        <s:v>111</s:v>
      </s:c>
      <s:c r="D49">
        <s:v>9</s:v>
      </s:c>
      <s:c r="E49">
        <s:f>D49*3.5*70/200</s:f>
        <s:v>11.025</s:v>
      </s:c>
    </s:row>
    <s:row r="50">
      <s:c r="A50" t="s">
        <s:v>103</s:v>
      </s:c>
      <s:c r="B50" t="s">
        <s:v>112</s:v>
      </s:c>
      <s:c r="C50" t="s">
        <s:v>113</s:v>
      </s:c>
      <s:c r="D50">
        <s:v>7.8</s:v>
      </s:c>
      <s:c r="E50">
        <s:f>D50*3.5*70/200</s:f>
        <s:v>9.5549999999999997</s:v>
      </s:c>
    </s:row>
    <s:row r="51">
      <s:c r="A51" t="s">
        <s:v>103</s:v>
      </s:c>
      <s:c r="B51" t="s">
        <s:v>114</s:v>
      </s:c>
      <s:c r="C51" t="s">
        <s:v>115</s:v>
      </s:c>
      <s:c r="D51">
        <s:v>4.8</s:v>
      </s:c>
      <s:c r="E51">
        <s:f>D51*3.5*70/200</s:f>
        <s:v>5.88</s:v>
      </s:c>
    </s:row>
    <s:row r="52">
      <s:c r="A52" t="s">
        <s:v>103</s:v>
      </s:c>
      <s:c r="B52" t="s">
        <s:v>116</s:v>
      </s:c>
      <s:c r="C52" t="s">
        <s:v>117</s:v>
      </s:c>
      <s:c r="D52">
        <s:v>8</s:v>
      </s:c>
      <s:c r="E52">
        <s:f>D52*3.5*70/200</s:f>
        <s:v>9.8000000000000007</s:v>
      </s:c>
    </s:row>
    <s:row r="53">
      <s:c r="A53" t="s">
        <s:v>103</s:v>
      </s:c>
      <s:c r="B53" t="s">
        <s:v>118</s:v>
      </s:c>
      <s:c r="C53" t="s">
        <s:v>119</s:v>
      </s:c>
      <s:c r="D53">
        <s:v>10</s:v>
      </s:c>
      <s:c r="E53">
        <s:f>D53*3.5*70/200</s:f>
        <s:v>12.25</s:v>
      </s:c>
    </s:row>
    <s:row r="54">
      <s:c r="A54" t="s">
        <s:v>103</s:v>
      </s:c>
      <s:c r="B54" t="s">
        <s:v>120</s:v>
      </s:c>
      <s:c r="C54" t="s">
        <s:v>121</s:v>
      </s:c>
      <s:c r="D54">
        <s:v>5</s:v>
      </s:c>
      <s:c r="E54">
        <s:f>D54*3.5*70/200</s:f>
        <s:v>6.125</s:v>
      </s:c>
    </s:row>
    <s:row r="55">
      <s:c r="A55" t="s">
        <s:v>103</s:v>
      </s:c>
      <s:c r="B55" t="s">
        <s:v>122</s:v>
      </s:c>
      <s:c r="C55" t="s">
        <s:v>123</s:v>
      </s:c>
      <s:c r="D55">
        <s:v>7.5</s:v>
      </s:c>
      <s:c r="E55">
        <s:f>D55*3.5*70/200</s:f>
        <s:v>9.1875</s:v>
      </s:c>
    </s:row>
    <s:row r="56">
      <s:c r="A56" t="s">
        <s:v>103</s:v>
      </s:c>
      <s:c r="B56" t="s">
        <s:v>124</s:v>
      </s:c>
      <s:c r="C56" t="s">
        <s:v>125</s:v>
      </s:c>
      <s:c r="D56">
        <s:v>3.8</s:v>
      </s:c>
      <s:c r="E56">
        <s:f>D56*3.5*70/200</s:f>
        <s:v>4.6549999999999994</s:v>
      </s:c>
    </s:row>
    <s:row r="57">
      <s:c r="A57" t="s">
        <s:v>103</s:v>
      </s:c>
      <s:c r="B57" t="s">
        <s:v>126</s:v>
      </s:c>
      <s:c r="C57" t="s">
        <s:v>127</s:v>
      </s:c>
      <s:c r="D57">
        <s:v>2.8</s:v>
      </s:c>
      <s:c r="E57">
        <s:f>D57*3.5*70/200</s:f>
        <s:v>3.4299999999999993</s:v>
      </s:c>
    </s:row>
    <s:row r="58">
      <s:c r="A58" t="s">
        <s:v>103</s:v>
      </s:c>
      <s:c r="B58" t="s">
        <s:v>128</s:v>
      </s:c>
      <s:c r="C58" t="s">
        <s:v>129</s:v>
      </s:c>
      <s:c r="D58">
        <s:v>3.5</s:v>
      </s:c>
      <s:c r="E58">
        <s:f>D58*3.5*70/200</s:f>
        <s:v>4.2874999999999996</s:v>
      </s:c>
    </s:row>
    <s:row r="59">
      <s:c r="A59" t="s">
        <s:v>103</s:v>
      </s:c>
      <s:c r="B59" t="s">
        <s:v>130</s:v>
      </s:c>
      <s:c r="C59" t="s">
        <s:v>131</s:v>
      </s:c>
      <s:c r="D59">
        <s:v>6</s:v>
      </s:c>
      <s:c r="E59">
        <s:f>D59*3.5*70/200</s:f>
        <s:v>7.35</s:v>
      </s:c>
    </s:row>
    <s:row r="60">
      <s:c r="A60" t="s">
        <s:v>103</s:v>
      </s:c>
      <s:c r="B60" t="s">
        <s:v>132</s:v>
      </s:c>
      <s:c r="C60" t="s">
        <s:v>133</s:v>
      </s:c>
      <s:c r="D60">
        <s:v>3.5</s:v>
      </s:c>
      <s:c r="E60">
        <s:f>D60*3.5*70/200</s:f>
        <s:v>4.2874999999999996</s:v>
      </s:c>
    </s:row>
    <s:row r="61">
      <s:c r="A61" t="s">
        <s:v>103</s:v>
      </s:c>
      <s:c r="B61" t="s">
        <s:v>134</s:v>
      </s:c>
      <s:c r="C61" t="s">
        <s:v>135</s:v>
      </s:c>
      <s:c r="D61">
        <s:v>5</s:v>
      </s:c>
      <s:c r="E61">
        <s:f>D61*3.5*70/200</s:f>
        <s:v>6.125</s:v>
      </s:c>
    </s:row>
    <s:row r="62">
      <s:c r="A62" t="s">
        <s:v>103</s:v>
      </s:c>
      <s:c r="B62" t="s">
        <s:v>136</s:v>
      </s:c>
      <s:c r="C62" t="s">
        <s:v>137</s:v>
      </s:c>
      <s:c r="D62">
        <s:v>7.5</s:v>
      </s:c>
      <s:c r="E62">
        <s:f>D62*3.5*70/200</s:f>
        <s:v>9.1875</s:v>
      </s:c>
    </s:row>
    <s:row r="63">
      <s:c r="A63" t="s">
        <s:v>103</s:v>
      </s:c>
      <s:c r="B63" t="s">
        <s:v>138</s:v>
      </s:c>
      <s:c r="C63" t="s">
        <s:v>139</s:v>
      </s:c>
      <s:c r="D63">
        <s:v>3.5</s:v>
      </s:c>
      <s:c r="E63">
        <s:f>D63*3.5*70/200</s:f>
        <s:v>4.2874999999999996</s:v>
      </s:c>
    </s:row>
    <s:row r="64">
      <s:c r="A64" t="s">
        <s:v>103</s:v>
      </s:c>
      <s:c r="B64" t="s">
        <s:v>140</s:v>
      </s:c>
      <s:c r="C64" t="s">
        <s:v>141</s:v>
      </s:c>
      <s:c r="D64">
        <s:v>5</s:v>
      </s:c>
      <s:c r="E64">
        <s:f>D64*3.5*70/200</s:f>
        <s:v>6.125</s:v>
      </s:c>
    </s:row>
    <s:row r="65">
      <s:c r="A65" t="s">
        <s:v>103</s:v>
      </s:c>
      <s:c r="B65" t="s">
        <s:v>142</s:v>
      </s:c>
      <s:c r="C65" t="s">
        <s:v>143</s:v>
      </s:c>
      <s:c r="D65">
        <s:v>9</s:v>
      </s:c>
      <s:c r="E65">
        <s:f>D65*3.5*70/200</s:f>
        <s:v>11.025</s:v>
      </s:c>
    </s:row>
    <s:row r="66">
      <s:c r="A66" t="s">
        <s:v>103</s:v>
      </s:c>
      <s:c r="B66" t="s">
        <s:v>144</s:v>
      </s:c>
      <s:c r="C66" t="s">
        <s:v>145</s:v>
      </s:c>
      <s:c r="D66">
        <s:v>6</s:v>
      </s:c>
      <s:c r="E66">
        <s:f>D66*3.5*70/200</s:f>
        <s:v>7.35</s:v>
      </s:c>
    </s:row>
    <s:row r="67">
      <s:c r="A67" t="s">
        <s:v>103</s:v>
      </s:c>
      <s:c r="B67" t="s">
        <s:v>146</s:v>
      </s:c>
      <s:c r="C67" t="s">
        <s:v>147</s:v>
      </s:c>
      <s:c r="D67">
        <s:v>5</s:v>
      </s:c>
      <s:c r="E67">
        <s:f>D67*3.5*70/200</s:f>
        <s:v>6.125</s:v>
      </s:c>
    </s:row>
    <s:row r="68">
      <s:c r="A68" t="s">
        <s:v>103</s:v>
      </s:c>
      <s:c r="B68" t="s">
        <s:v>148</s:v>
      </s:c>
      <s:c r="C68" t="s">
        <s:v>149</s:v>
      </s:c>
      <s:c r="D68">
        <s:v>3.5</s:v>
      </s:c>
      <s:c r="E68">
        <s:f>D68*3.5*70/200</s:f>
        <s:v>4.2874999999999996</s:v>
      </s:c>
    </s:row>
    <s:row r="69">
      <s:c r="A69" t="s">
        <s:v>103</s:v>
      </s:c>
      <s:c r="B69" t="s">
        <s:v>150</s:v>
      </s:c>
      <s:c r="C69" t="s">
        <s:v>151</s:v>
      </s:c>
      <s:c r="D69">
        <s:v>5.8</s:v>
      </s:c>
      <s:c r="E69">
        <s:f>D69*3.5*70/200</s:f>
        <s:v>7.1050000000000004</s:v>
      </s:c>
    </s:row>
    <s:row r="70">
      <s:c r="A70" t="s">
        <s:v>103</s:v>
      </s:c>
      <s:c r="B70" t="s">
        <s:v>152</s:v>
      </s:c>
      <s:c r="C70" t="s">
        <s:v>153</s:v>
      </s:c>
      <s:c r="D70">
        <s:v>3</s:v>
      </s:c>
      <s:c r="E70">
        <s:f>D70*3.5*70/200</s:f>
        <s:v>3.6749999999999998</s:v>
      </s:c>
    </s:row>
    <s:row r="71">
      <s:c r="A71" t="s">
        <s:v>103</s:v>
      </s:c>
      <s:c r="B71" t="s">
        <s:v>154</s:v>
      </s:c>
      <s:c r="C71" t="s">
        <s:v>155</s:v>
      </s:c>
      <s:c r="D71">
        <s:v>6.5</s:v>
      </s:c>
      <s:c r="E71">
        <s:f>D71*3.5*70/200</s:f>
        <s:v>7.9625000000000004</s:v>
      </s:c>
    </s:row>
    <s:row r="72">
      <s:c r="A72" t="s">
        <s:v>103</s:v>
      </s:c>
      <s:c r="B72" t="s">
        <s:v>156</s:v>
      </s:c>
      <s:c r="C72" t="s">
        <s:v>157</s:v>
      </s:c>
      <s:c r="D72">
        <s:v>9.8000000000000007</s:v>
      </s:c>
      <s:c r="E72">
        <s:f>D72*3.5*70/200</s:f>
        <s:v>12.005000000000003</s:v>
      </s:c>
    </s:row>
    <s:row r="73">
      <s:c r="A73" t="s">
        <s:v>103</s:v>
      </s:c>
      <s:c r="B73" t="s">
        <s:v>158</s:v>
      </s:c>
      <s:c r="C73" t="s">
        <s:v>159</s:v>
      </s:c>
      <s:c r="D73">
        <s:v>5.5</s:v>
      </s:c>
      <s:c r="E73">
        <s:f>D73*3.5*70/200</s:f>
        <s:v>6.7374999999999998</s:v>
      </s:c>
    </s:row>
    <s:row r="74">
      <s:c r="A74" t="s">
        <s:v>103</s:v>
      </s:c>
      <s:c r="B74" t="s">
        <s:v>160</s:v>
      </s:c>
      <s:c r="C74" t="s">
        <s:v>161</s:v>
      </s:c>
      <s:c r="D74">
        <s:v>5</s:v>
      </s:c>
      <s:c r="E74">
        <s:f>D74*3.5*70/200</s:f>
        <s:v>6.125</s:v>
      </s:c>
    </s:row>
    <s:row r="75">
      <s:c r="A75" t="s">
        <s:v>103</s:v>
      </s:c>
      <s:c r="B75" t="s">
        <s:v>162</s:v>
      </s:c>
      <s:c r="C75" t="s">
        <s:v>163</s:v>
      </s:c>
      <s:c r="D75">
        <s:v>7.8</s:v>
      </s:c>
      <s:c r="E75">
        <s:f>D75*3.5*70/200</s:f>
        <s:v>9.5549999999999997</s:v>
      </s:c>
    </s:row>
    <s:row r="76">
      <s:c r="A76" t="s">
        <s:v>103</s:v>
      </s:c>
      <s:c r="B76" t="s">
        <s:v>164</s:v>
      </s:c>
      <s:c r="C76" t="s">
        <s:v>165</s:v>
      </s:c>
      <s:c r="D76">
        <s:v>3.8</s:v>
      </s:c>
      <s:c r="E76">
        <s:f>D76*3.5*70/200</s:f>
        <s:v>4.6549999999999994</s:v>
      </s:c>
    </s:row>
    <s:row r="77">
      <s:c r="A77" t="s">
        <s:v>103</s:v>
      </s:c>
      <s:c r="B77" t="s">
        <s:v>166</s:v>
      </s:c>
      <s:c r="C77" t="s">
        <s:v>167</s:v>
      </s:c>
      <s:c r="D77">
        <s:v>9.3000000000000007</s:v>
      </s:c>
      <s:c r="E77">
        <s:f>D77*3.5*70/200</s:f>
        <s:v>11.392500000000002</s:v>
      </s:c>
    </s:row>
    <s:row r="78">
      <s:c r="A78" t="s">
        <s:v>103</s:v>
      </s:c>
      <s:c r="B78" t="s">
        <s:v>168</s:v>
      </s:c>
      <s:c r="C78" t="s">
        <s:v>169</s:v>
      </s:c>
      <s:c r="D78">
        <s:v>11</s:v>
      </s:c>
      <s:c r="E78">
        <s:f>D78*3.5*70/200</s:f>
        <s:v>13.475</s:v>
      </s:c>
    </s:row>
    <s:row r="79">
      <s:c r="A79" t="s">
        <s:v>103</s:v>
      </s:c>
      <s:c r="B79" t="s">
        <s:v>170</s:v>
      </s:c>
      <s:c r="C79" t="s">
        <s:v>171</s:v>
      </s:c>
      <s:c r="D79">
        <s:v>9</s:v>
      </s:c>
      <s:c r="E79">
        <s:f>D79*3.5*70/200</s:f>
        <s:v>11.025</s:v>
      </s:c>
    </s:row>
    <s:row r="80">
      <s:c r="A80" t="s">
        <s:v>103</s:v>
      </s:c>
      <s:c r="B80" t="s">
        <s:v>172</s:v>
      </s:c>
      <s:c r="C80" t="s">
        <s:v>173</s:v>
      </s:c>
      <s:c r="D80">
        <s:v>7.3</s:v>
      </s:c>
      <s:c r="E80">
        <s:f>D80*3.5*70/200</s:f>
        <s:v>8.9425000000000008</s:v>
      </s:c>
    </s:row>
    <s:row r="81">
      <s:c r="A81" t="s">
        <s:v>103</s:v>
      </s:c>
      <s:c r="B81" t="s">
        <s:v>174</s:v>
      </s:c>
      <s:c r="C81" t="s">
        <s:v>175</s:v>
      </s:c>
      <s:c r="D81">
        <s:v>5</s:v>
      </s:c>
      <s:c r="E81">
        <s:f>D81*3.5*70/200</s:f>
        <s:v>6.125</s:v>
      </s:c>
    </s:row>
    <s:row r="82">
      <s:c r="A82" t="s">
        <s:v>103</s:v>
      </s:c>
      <s:c r="B82" t="s">
        <s:v>176</s:v>
      </s:c>
      <s:c r="C82" t="s">
        <s:v>177</s:v>
      </s:c>
      <s:c r="D82">
        <s:v>7.5</s:v>
      </s:c>
      <s:c r="E82">
        <s:f>D82*3.5*70/200</s:f>
        <s:v>9.1875</s:v>
      </s:c>
    </s:row>
    <s:row r="83">
      <s:c r="A83" t="s">
        <s:v>103</s:v>
      </s:c>
      <s:c r="B83" t="s">
        <s:v>178</s:v>
      </s:c>
      <s:c r="C83" t="s">
        <s:v>179</s:v>
      </s:c>
      <s:c r="D83">
        <s:v>11</s:v>
      </s:c>
      <s:c r="E83">
        <s:f>D83*3.5*70/200</s:f>
        <s:v>13.475</s:v>
      </s:c>
    </s:row>
    <s:row r="84">
      <s:c r="A84" t="s">
        <s:v>103</s:v>
      </s:c>
      <s:c r="B84" t="s">
        <s:v>180</s:v>
      </s:c>
      <s:c r="C84" t="s">
        <s:v>181</s:v>
      </s:c>
      <s:c r="D84">
        <s:v>14</s:v>
      </s:c>
      <s:c r="E84">
        <s:f>D84*3.5*70/200</s:f>
        <s:v>17.149999999999999</s:v>
      </s:c>
    </s:row>
    <s:row r="85">
      <s:c r="A85" t="s">
        <s:v>103</s:v>
      </s:c>
      <s:c r="B85" t="s">
        <s:v>182</s:v>
      </s:c>
      <s:c r="C85" t="s">
        <s:v>183</s:v>
      </s:c>
      <s:c r="D85">
        <s:v>11</s:v>
      </s:c>
      <s:c r="E85">
        <s:f>D85*3.5*70/200</s:f>
        <s:v>13.475</s:v>
      </s:c>
    </s:row>
    <s:row r="86">
      <s:c r="A86" t="s">
        <s:v>103</s:v>
      </s:c>
      <s:c r="B86" t="s">
        <s:v>184</s:v>
      </s:c>
      <s:c r="C86" t="s">
        <s:v>185</s:v>
      </s:c>
      <s:c r="D86">
        <s:v>6.8</s:v>
      </s:c>
      <s:c r="E86">
        <s:f>D86*3.5*70/200</s:f>
        <s:v>8.33</s:v>
      </s:c>
    </s:row>
    <s:row r="87">
      <s:c r="A87" t="s">
        <s:v>103</s:v>
      </s:c>
      <s:c r="B87" t="s">
        <s:v>186</s:v>
      </s:c>
      <s:c r="C87" t="s">
        <s:v>187</s:v>
      </s:c>
      <s:c r="D87">
        <s:v>10.5</s:v>
      </s:c>
      <s:c r="E87">
        <s:f>D87*3.5*70/200</s:f>
        <s:v>12.862500000000001</s:v>
      </s:c>
    </s:row>
    <s:row r="88">
      <s:c r="A88" t="s">
        <s:v>103</s:v>
      </s:c>
      <s:c r="B88" t="s">
        <s:v>188</s:v>
      </s:c>
      <s:c r="C88" t="s">
        <s:v>189</s:v>
      </s:c>
      <s:c r="D88">
        <s:v>18</s:v>
      </s:c>
      <s:c r="E88">
        <s:f>D88*3.5*70/200</s:f>
        <s:v>22.05</s:v>
      </s:c>
    </s:row>
    <s:row r="89">
      <s:c r="A89" t="s">
        <s:v>103</s:v>
      </s:c>
      <s:c r="B89" t="s">
        <s:v>190</s:v>
      </s:c>
      <s:c r="C89" t="s">
        <s:v>191</s:v>
      </s:c>
      <s:c r="D89">
        <s:v>10.5</s:v>
      </s:c>
      <s:c r="E89">
        <s:f>D89*3.5*70/200</s:f>
        <s:v>12.862500000000001</s:v>
      </s:c>
    </s:row>
    <s:row r="90">
      <s:c r="A90" t="s">
        <s:v>103</s:v>
      </s:c>
      <s:c r="B90" t="s">
        <s:v>192</s:v>
      </s:c>
      <s:c r="C90" t="s">
        <s:v>193</s:v>
      </s:c>
      <s:c r="D90">
        <s:v>6</s:v>
      </s:c>
      <s:c r="E90">
        <s:f>D90*3.5*70/200</s:f>
        <s:v>7.35</s:v>
      </s:c>
    </s:row>
    <s:row r="91">
      <s:c r="A91" t="s">
        <s:v>103</s:v>
      </s:c>
      <s:c r="B91" t="s">
        <s:v>194</s:v>
      </s:c>
      <s:c r="C91" t="s">
        <s:v>195</s:v>
      </s:c>
      <s:c r="D91">
        <s:v>2.2999999999999998</s:v>
      </s:c>
      <s:c r="E91">
        <s:f>D91*3.5*70/200</s:f>
        <s:v>2.8174999999999994</s:v>
      </s:c>
    </s:row>
    <s:row r="92">
      <s:c r="A92" t="s">
        <s:v>103</s:v>
      </s:c>
      <s:c r="B92" t="s">
        <s:v>196</s:v>
      </s:c>
      <s:c r="C92" t="s">
        <s:v>197</s:v>
      </s:c>
      <s:c r="D92">
        <s:v>1.8</s:v>
      </s:c>
      <s:c r="E92">
        <s:f>D92*3.5*70/200</s:f>
        <s:v>2.2050000000000001</s:v>
      </s:c>
    </s:row>
    <s:row r="93">
      <s:c r="A93" t="s">
        <s:v>103</s:v>
      </s:c>
      <s:c r="B93" t="s">
        <s:v>198</s:v>
      </s:c>
      <s:c r="C93" t="s">
        <s:v>199</s:v>
      </s:c>
      <s:c r="D93">
        <s:v>2.8</s:v>
      </s:c>
      <s:c r="E93">
        <s:f>D93*3.5*70/200</s:f>
        <s:v>3.4299999999999993</s:v>
      </s:c>
    </s:row>
    <s:row r="94">
      <s:c r="A94" t="s">
        <s:v>103</s:v>
      </s:c>
      <s:c r="B94" t="s">
        <s:v>200</s:v>
      </s:c>
      <s:c r="C94" t="s">
        <s:v>201</s:v>
      </s:c>
      <s:c r="D94">
        <s:v>8.5</s:v>
      </s:c>
      <s:c r="E94">
        <s:f>D94*3.5*70/200</s:f>
        <s:v>10.4125</s:v>
      </s:c>
    </s:row>
    <s:row r="95">
      <s:c r="A95" t="s">
        <s:v>103</s:v>
      </s:c>
      <s:c r="B95" t="s">
        <s:v>202</s:v>
      </s:c>
      <s:c r="C95" t="s">
        <s:v>203</s:v>
      </s:c>
      <s:c r="D95">
        <s:v>4.5</s:v>
      </s:c>
      <s:c r="E95">
        <s:f>D95*3.5*70/200</s:f>
        <s:v>5.5125000000000002</s:v>
      </s:c>
    </s:row>
    <s:row r="96">
      <s:c r="A96" t="s">
        <s:v>103</s:v>
      </s:c>
      <s:c r="B96" t="s">
        <s:v>204</s:v>
      </s:c>
      <s:c r="C96" t="s">
        <s:v>205</s:v>
      </s:c>
      <s:c r="D96">
        <s:v>6.8</s:v>
      </s:c>
      <s:c r="E96">
        <s:f>D96*3.5*70/200</s:f>
        <s:v>8.33</s:v>
      </s:c>
    </s:row>
    <s:row r="97">
      <s:c r="A97" t="s">
        <s:v>103</s:v>
      </s:c>
      <s:c r="B97" t="s">
        <s:v>206</s:v>
      </s:c>
      <s:c r="C97" t="s">
        <s:v>207</s:v>
      </s:c>
      <s:c r="D97">
        <s:v>2.8</s:v>
      </s:c>
      <s:c r="E97">
        <s:f>D97*3.5*70/200</s:f>
        <s:v>3.4299999999999993</s:v>
      </s:c>
    </s:row>
    <s:row r="98">
      <s:c r="A98" t="s">
        <s:v>103</s:v>
      </s:c>
      <s:c r="B98" t="s">
        <s:v>208</s:v>
      </s:c>
      <s:c r="C98" t="s">
        <s:v>209</s:v>
      </s:c>
      <s:c r="D98">
        <s:v>9.5</s:v>
      </s:c>
      <s:c r="E98">
        <s:f>D98*3.5*70/200</s:f>
        <s:v>11.637499999999999</s:v>
      </s:c>
    </s:row>
    <s:row r="99">
      <s:c r="A99" t="s">
        <s:v>103</s:v>
      </s:c>
      <s:c r="B99" t="s">
        <s:v>210</s:v>
      </s:c>
      <s:c r="C99" t="s">
        <s:v>211</s:v>
      </s:c>
      <s:c r="D99">
        <s:v>2.8</s:v>
      </s:c>
      <s:c r="E99">
        <s:f>D99*3.5*70/200</s:f>
        <s:v>3.4299999999999993</s:v>
      </s:c>
    </s:row>
    <s:row r="100">
      <s:c r="A100" t="s">
        <s:v>103</s:v>
      </s:c>
      <s:c r="B100" t="s">
        <s:v>212</s:v>
      </s:c>
      <s:c r="C100" t="s">
        <s:v>213</s:v>
      </s:c>
      <s:c r="D100">
        <s:v>2</s:v>
      </s:c>
      <s:c r="E100">
        <s:f>D100*3.5*70/200</s:f>
        <s:v>2.4500000000000002</s:v>
      </s:c>
    </s:row>
    <s:row r="101">
      <s:c r="A101" t="s">
        <s:v>103</s:v>
      </s:c>
      <s:c r="B101" t="s">
        <s:v>214</s:v>
      </s:c>
      <s:c r="C101" t="s">
        <s:v>215</s:v>
      </s:c>
      <s:c r="D101">
        <s:v>2.8</s:v>
      </s:c>
      <s:c r="E101">
        <s:f>D101*3.5*70/200</s:f>
        <s:v>3.4299999999999993</s:v>
      </s:c>
    </s:row>
    <s:row r="102">
      <s:c r="A102" t="s">
        <s:v>103</s:v>
      </s:c>
      <s:c r="B102" t="s">
        <s:v>216</s:v>
      </s:c>
      <s:c r="C102" t="s">
        <s:v>217</s:v>
      </s:c>
      <s:c r="D102">
        <s:v>3.5</s:v>
      </s:c>
      <s:c r="E102">
        <s:f>D102*3.5*70/200</s:f>
        <s:v>4.2874999999999996</s:v>
      </s:c>
    </s:row>
    <s:row r="103">
      <s:c r="A103" t="s">
        <s:v>103</s:v>
      </s:c>
      <s:c r="B103" t="s">
        <s:v>218</s:v>
      </s:c>
      <s:c r="C103" t="s">
        <s:v>219</s:v>
      </s:c>
      <s:c r="D103">
        <s:v>4.3</s:v>
      </s:c>
      <s:c r="E103">
        <s:f>D103*3.5*70/200</s:f>
        <s:v>5.2675000000000001</s:v>
      </s:c>
    </s:row>
    <s:row r="104">
      <s:c r="A104" t="s">
        <s:v>103</s:v>
      </s:c>
      <s:c r="B104" t="s">
        <s:v>220</s:v>
      </s:c>
      <s:c r="C104" t="s">
        <s:v>221</s:v>
      </s:c>
      <s:c r="D104">
        <s:v>5.3</s:v>
      </s:c>
      <s:c r="E104">
        <s:f>D104*3.5*70/200</s:f>
        <s:v>6.4924999999999997</s:v>
      </s:c>
    </s:row>
    <s:row r="105">
      <s:c r="A105" t="s">
        <s:v>103</s:v>
      </s:c>
      <s:c r="B105" t="s">
        <s:v>222</s:v>
      </s:c>
      <s:c r="C105" t="s">
        <s:v>223</s:v>
      </s:c>
      <s:c r="D105">
        <s:v>1.3</s:v>
      </s:c>
      <s:c r="E105">
        <s:f>D105*3.5*70/200</s:f>
        <s:v>1.5925</s:v>
      </s:c>
    </s:row>
    <s:row r="106">
      <s:c r="A106" t="s">
        <s:v>103</s:v>
      </s:c>
      <s:c r="B106" t="s">
        <s:v>224</s:v>
      </s:c>
      <s:c r="C106" t="s">
        <s:v>225</s:v>
      </s:c>
      <s:c r="D106">
        <s:v>2.5</s:v>
      </s:c>
      <s:c r="E106">
        <s:f>D106*3.5*70/200</s:f>
        <s:v>3.0625</s:v>
      </s:c>
    </s:row>
    <s:row r="107">
      <s:c r="A107" t="s">
        <s:v>103</s:v>
      </s:c>
      <s:c r="B107" t="s">
        <s:v>226</s:v>
      </s:c>
      <s:c r="C107" t="s">
        <s:v>227</s:v>
      </s:c>
      <s:c r="D107">
        <s:v>4</s:v>
      </s:c>
      <s:c r="E107">
        <s:f>D107*3.5*70/200</s:f>
        <s:v>4.9000000000000004</s:v>
      </s:c>
    </s:row>
    <s:row r="108">
      <s:c r="A108" t="s">
        <s:v>103</s:v>
      </s:c>
      <s:c r="B108" t="s">
        <s:v>228</s:v>
      </s:c>
      <s:c r="C108" t="s">
        <s:v>229</s:v>
      </s:c>
      <s:c r="D108">
        <s:v>6</s:v>
      </s:c>
      <s:c r="E108">
        <s:f>D108*3.5*70/200</s:f>
        <s:v>7.35</s:v>
      </s:c>
    </s:row>
    <s:row r="109">
      <s:c r="A109" t="s">
        <s:v>103</s:v>
      </s:c>
      <s:c r="B109" t="s">
        <s:v>230</s:v>
      </s:c>
      <s:c r="C109" t="s">
        <s:v>231</s:v>
      </s:c>
      <s:c r="D109">
        <s:v>2.2999999999999998</s:v>
      </s:c>
      <s:c r="E109">
        <s:f>D109*3.5*70/200</s:f>
        <s:v>2.8174999999999994</s:v>
      </s:c>
    </s:row>
    <s:row r="110">
      <s:c r="A110" t="s">
        <s:v>103</s:v>
      </s:c>
      <s:c r="B110" t="s">
        <s:v>232</s:v>
      </s:c>
      <s:c r="C110" t="s">
        <s:v>233</s:v>
      </s:c>
      <s:c r="D110">
        <s:v>8</s:v>
      </s:c>
      <s:c r="E110">
        <s:f>D110*3.5*70/200</s:f>
        <s:v>9.8000000000000007</s:v>
      </s:c>
    </s:row>
    <s:row r="111">
      <s:c r="A111" t="s">
        <s:v>103</s:v>
      </s:c>
      <s:c r="B111" t="s">
        <s:v>234</s:v>
      </s:c>
      <s:c r="C111" t="s">
        <s:v>235</s:v>
      </s:c>
      <s:c r="D111">
        <s:v>3</s:v>
      </s:c>
      <s:c r="E111">
        <s:f>D111*3.5*70/200</s:f>
        <s:v>3.6749999999999998</s:v>
      </s:c>
    </s:row>
    <s:row r="112">
      <s:c r="A112" t="s">
        <s:v>103</s:v>
      </s:c>
      <s:c r="B112" t="s">
        <s:v>236</s:v>
      </s:c>
      <s:c r="C112" t="s">
        <s:v>237</s:v>
      </s:c>
      <s:c r="D112">
        <s:v>4</s:v>
      </s:c>
      <s:c r="E112">
        <s:f>D112*3.5*70/200</s:f>
        <s:v>4.9000000000000004</s:v>
      </s:c>
    </s:row>
    <s:row r="113">
      <s:c r="A113" t="s">
        <s:v>103</s:v>
      </s:c>
      <s:c r="B113" t="s">
        <s:v>238</s:v>
      </s:c>
      <s:c r="C113" t="s">
        <s:v>239</s:v>
      </s:c>
      <s:c r="D113">
        <s:v>2</s:v>
      </s:c>
      <s:c r="E113">
        <s:f>D113*3.5*70/200</s:f>
        <s:v>2.4500000000000002</s:v>
      </s:c>
    </s:row>
    <s:row r="114">
      <s:c r="A114" t="s">
        <s:v>103</s:v>
      </s:c>
      <s:c r="B114" t="s">
        <s:v>240</s:v>
      </s:c>
      <s:c r="C114" t="s">
        <s:v>241</s:v>
      </s:c>
      <s:c r="D114">
        <s:v>2.2999999999999998</s:v>
      </s:c>
      <s:c r="E114">
        <s:f>D114*3.5*70/200</s:f>
        <s:v>2.8174999999999994</s:v>
      </s:c>
    </s:row>
    <s:row r="115">
      <s:c r="A115" t="s">
        <s:v>103</s:v>
      </s:c>
      <s:c r="B115" t="s">
        <s:v>242</s:v>
      </s:c>
      <s:c r="C115" t="s">
        <s:v>243</s:v>
      </s:c>
      <s:c r="D115">
        <s:v>3.5</s:v>
      </s:c>
      <s:c r="E115">
        <s:f>D115*3.5*70/200</s:f>
        <s:v>4.2874999999999996</s:v>
      </s:c>
    </s:row>
    <s:row r="116">
      <s:c r="A116" t="s">
        <s:v>103</s:v>
      </s:c>
      <s:c r="B116" t="s">
        <s:v>244</s:v>
      </s:c>
      <s:c r="C116" t="s">
        <s:v>245</s:v>
      </s:c>
      <s:c r="D116">
        <s:v>2.7</s:v>
      </s:c>
      <s:c r="E116">
        <s:f>D116*3.5*70/200</s:f>
        <s:v>3.3075000000000006</s:v>
      </s:c>
    </s:row>
    <s:row r="117">
      <s:c r="A117" t="s">
        <s:v>103</s:v>
      </s:c>
      <s:c r="B117" t="s">
        <s:v>246</s:v>
      </s:c>
      <s:c r="C117" t="s">
        <s:v>247</s:v>
      </s:c>
      <s:c r="D117">
        <s:v>5.3</s:v>
      </s:c>
      <s:c r="E117">
        <s:f>D117*3.5*70/200</s:f>
        <s:v>6.4924999999999997</s:v>
      </s:c>
    </s:row>
    <s:row r="118">
      <s:c r="A118" t="s">
        <s:v>103</s:v>
      </s:c>
      <s:c r="B118" t="s">
        <s:v>248</s:v>
      </s:c>
      <s:c r="C118" t="s">
        <s:v>249</s:v>
      </s:c>
      <s:c r="D118">
        <s:v>6.8</s:v>
      </s:c>
      <s:c r="E118">
        <s:f>D118*3.5*70/200</s:f>
        <s:v>8.33</s:v>
      </s:c>
    </s:row>
    <s:row r="119">
      <s:c r="A119" t="s">
        <s:v>103</s:v>
      </s:c>
      <s:c r="B119" t="s">
        <s:v>250</s:v>
      </s:c>
      <s:c r="C119" t="s">
        <s:v>251</s:v>
      </s:c>
      <s:c r="D119">
        <s:v>7</s:v>
      </s:c>
      <s:c r="E119">
        <s:f>D119*3.5*70/200</s:f>
        <s:v>8.5749999999999993</s:v>
      </s:c>
    </s:row>
    <s:row r="120">
      <s:c r="A120" t="s">
        <s:v>103</s:v>
      </s:c>
      <s:c r="B120" t="s">
        <s:v>252</s:v>
      </s:c>
      <s:c r="C120" t="s">
        <s:v>253</s:v>
      </s:c>
      <s:c r="D120">
        <s:v>11</s:v>
      </s:c>
      <s:c r="E120">
        <s:f>D120*3.5*70/200</s:f>
        <s:v>13.475</s:v>
      </s:c>
    </s:row>
    <s:row r="121">
      <s:c r="A121" t="s">
        <s:v>103</s:v>
      </s:c>
      <s:c r="B121" t="s">
        <s:v>254</s:v>
      </s:c>
      <s:c r="C121" t="s">
        <s:v>255</s:v>
      </s:c>
      <s:c r="D121">
        <s:v>2.2999999999999998</s:v>
      </s:c>
      <s:c r="E121">
        <s:f>D121*3.5*70/200</s:f>
        <s:v>2.8174999999999994</s:v>
      </s:c>
    </s:row>
    <s:row r="122">
      <s:c r="A122" t="s">
        <s:v>103</s:v>
      </s:c>
      <s:c r="B122" t="s">
        <s:v>256</s:v>
      </s:c>
      <s:c r="C122" t="s">
        <s:v>257</s:v>
      </s:c>
      <s:c r="D122">
        <s:v>5.8</s:v>
      </s:c>
      <s:c r="E122">
        <s:f>D122*3.5*70/200</s:f>
        <s:v>7.1050000000000004</s:v>
      </s:c>
    </s:row>
    <s:row r="123">
      <s:c r="A123" t="s">
        <s:v>103</s:v>
      </s:c>
      <s:c r="B123" t="s">
        <s:v>258</s:v>
      </s:c>
      <s:c r="C123" t="s">
        <s:v>259</s:v>
      </s:c>
      <s:c r="D123">
        <s:v>9</s:v>
      </s:c>
      <s:c r="E123">
        <s:f>D123*3.5*70/200</s:f>
        <s:v>11.025</s:v>
      </s:c>
    </s:row>
    <s:row r="124">
      <s:c r="A124" t="s">
        <s:v>103</s:v>
      </s:c>
      <s:c r="B124" t="s">
        <s:v>260</s:v>
      </s:c>
      <s:c r="C124" t="s">
        <s:v>261</s:v>
      </s:c>
      <s:c r="D124">
        <s:v>7.9</s:v>
      </s:c>
      <s:c r="E124">
        <s:f>D124*3.5*70/200</s:f>
        <s:v>9.677500000000002</s:v>
      </s:c>
    </s:row>
    <s:row r="125">
      <s:c r="A125" t="s">
        <s:v>103</s:v>
      </s:c>
      <s:c r="B125" t="s">
        <s:v>262</s:v>
      </s:c>
      <s:c r="C125" t="s">
        <s:v>263</s:v>
      </s:c>
      <s:c r="D125">
        <s:v>9.3000000000000007</s:v>
      </s:c>
      <s:c r="E125">
        <s:f>D125*3.5*70/200</s:f>
        <s:v>11.392500000000002</s:v>
      </s:c>
    </s:row>
    <s:row r="126">
      <s:c r="A126" t="s">
        <s:v>103</s:v>
      </s:c>
      <s:c r="B126" t="s">
        <s:v>264</s:v>
      </s:c>
      <s:c r="C126" t="s">
        <s:v>265</s:v>
      </s:c>
      <s:c r="D126">
        <s:v>13</s:v>
      </s:c>
      <s:c r="E126">
        <s:f>D126*3.5*70/200</s:f>
        <s:v>15.925000000000001</s:v>
      </s:c>
    </s:row>
    <s:row r="127">
      <s:c r="A127" t="s">
        <s:v>103</s:v>
      </s:c>
      <s:c r="B127" t="s">
        <s:v>266</s:v>
      </s:c>
      <s:c r="C127" t="s">
        <s:v>267</s:v>
      </s:c>
      <s:c r="D127">
        <s:v>3</s:v>
      </s:c>
      <s:c r="E127">
        <s:f>D127*3.5*70/200</s:f>
        <s:v>3.6749999999999998</s:v>
      </s:c>
    </s:row>
    <s:row r="128">
      <s:c r="A128" t="s">
        <s:v>103</s:v>
      </s:c>
      <s:c r="B128" t="s">
        <s:v>268</s:v>
      </s:c>
      <s:c r="C128" t="s">
        <s:v>269</s:v>
      </s:c>
      <s:c r="D128">
        <s:v>6.5</s:v>
      </s:c>
      <s:c r="E128">
        <s:f>D128*3.5*70/200</s:f>
        <s:v>7.9625000000000004</s:v>
      </s:c>
    </s:row>
    <s:row r="129">
      <s:c r="A129" t="s">
        <s:v>103</s:v>
      </s:c>
      <s:c r="B129" t="s">
        <s:v>270</s:v>
      </s:c>
      <s:c r="C129" t="s">
        <s:v>271</s:v>
      </s:c>
      <s:c r="D129">
        <s:v>5.5</s:v>
      </s:c>
      <s:c r="E129">
        <s:f>D129*3.5*70/200</s:f>
        <s:v>6.7374999999999998</s:v>
      </s:c>
    </s:row>
    <s:row r="130">
      <s:c r="A130" t="s">
        <s:v>103</s:v>
      </s:c>
      <s:c r="B130" t="s">
        <s:v>272</s:v>
      </s:c>
      <s:c r="C130" t="s">
        <s:v>273</s:v>
      </s:c>
      <s:c r="D130">
        <s:v>2.8</s:v>
      </s:c>
      <s:c r="E130">
        <s:f>D130*3.5*70/200</s:f>
        <s:v>3.4299999999999993</s:v>
      </s:c>
    </s:row>
    <s:row r="131">
      <s:c r="A131" t="s">
        <s:v>103</s:v>
      </s:c>
      <s:c r="B131" t="s">
        <s:v>274</s:v>
      </s:c>
      <s:c r="C131" t="s">
        <s:v>275</s:v>
      </s:c>
      <s:c r="D131">
        <s:v>4</s:v>
      </s:c>
      <s:c r="E131">
        <s:f>D131*3.5*70/200</s:f>
        <s:v>4.9000000000000004</s:v>
      </s:c>
    </s:row>
    <s:row r="132">
      <s:c r="A132" t="s">
        <s:v>276</s:v>
      </s:c>
      <s:c r="B132" t="s">
        <s:v>277</s:v>
      </s:c>
      <s:c r="C132" t="s">
        <s:v>278</s:v>
      </s:c>
      <s:c r="D132">
        <s:v>6</s:v>
      </s:c>
      <s:c r="E132">
        <s:f>D132*3.5*70/200</s:f>
        <s:v>7.35</s:v>
      </s:c>
    </s:row>
    <s:row r="133">
      <s:c r="A133" t="s">
        <s:v>276</s:v>
      </s:c>
      <s:c r="B133" t="s">
        <s:v>279</s:v>
      </s:c>
      <s:c r="C133" t="s">
        <s:v>280</s:v>
      </s:c>
      <s:c r="D133">
        <s:v>5</s:v>
      </s:c>
      <s:c r="E133">
        <s:f>D133*3.5*70/200</s:f>
        <s:v>6.125</s:v>
      </s:c>
    </s:row>
    <s:row r="134">
      <s:c r="A134" t="s">
        <s:v>276</s:v>
      </s:c>
      <s:c r="B134" t="s">
        <s:v>281</s:v>
      </s:c>
      <s:c r="C134" t="s">
        <s:v>282</s:v>
      </s:c>
      <s:c r="D134">
        <s:v>6.3</s:v>
      </s:c>
      <s:c r="E134">
        <s:f>D134*3.5*70/200</s:f>
        <s:v>7.7175000000000002</s:v>
      </s:c>
    </s:row>
    <s:row r="135">
      <s:c r="A135" t="s">
        <s:v>276</s:v>
      </s:c>
      <s:c r="B135" t="s">
        <s:v>283</s:v>
      </s:c>
      <s:c r="C135" t="s">
        <s:v>284</s:v>
      </s:c>
      <s:c r="D135">
        <s:v>6.8</s:v>
      </s:c>
      <s:c r="E135">
        <s:f>D135*3.5*70/200</s:f>
        <s:v>8.33</s:v>
      </s:c>
    </s:row>
    <s:row r="136">
      <s:c r="A136" t="s">
        <s:v>276</s:v>
      </s:c>
      <s:c r="B136" t="s">
        <s:v>285</s:v>
      </s:c>
      <s:c r="C136" t="s">
        <s:v>286</s:v>
      </s:c>
      <s:c r="D136">
        <s:v>4.8</s:v>
      </s:c>
      <s:c r="E136">
        <s:f>D136*3.5*70/200</s:f>
        <s:v>5.88</s:v>
      </s:c>
    </s:row>
    <s:row r="137">
      <s:c r="A137" t="s">
        <s:v>276</s:v>
      </s:c>
      <s:c r="B137" t="s">
        <s:v>287</s:v>
      </s:c>
      <s:c r="C137" t="s">
        <s:v>288</s:v>
      </s:c>
      <s:c r="D137">
        <s:v>4.5</s:v>
      </s:c>
      <s:c r="E137">
        <s:f>D137*3.5*70/200</s:f>
        <s:v>5.5125000000000002</s:v>
      </s:c>
    </s:row>
    <s:row r="138">
      <s:c r="A138" t="s">
        <s:v>276</s:v>
      </s:c>
      <s:c r="B138" t="s">
        <s:v>289</s:v>
      </s:c>
      <s:c r="C138" t="s">
        <s:v>290</s:v>
      </s:c>
      <s:c r="D138">
        <s:v>5.5</s:v>
      </s:c>
      <s:c r="E138">
        <s:f>D138*3.5*70/200</s:f>
        <s:v>6.7374999999999998</s:v>
      </s:c>
    </s:row>
    <s:row r="139">
      <s:c r="A139" t="s">
        <s:v>276</s:v>
      </s:c>
      <s:c r="B139" t="s">
        <s:v>291</s:v>
      </s:c>
      <s:c r="C139" t="s">
        <s:v>292</s:v>
      </s:c>
      <s:c r="D139">
        <s:v>7.3</s:v>
      </s:c>
      <s:c r="E139">
        <s:f>D139*3.5*70/200</s:f>
        <s:v>8.9425000000000008</s:v>
      </s:c>
    </s:row>
    <s:row r="140">
      <s:c r="A140" t="s">
        <s:v>276</s:v>
      </s:c>
      <s:c r="B140" t="s">
        <s:v>293</s:v>
      </s:c>
      <s:c r="C140" t="s">
        <s:v>294</s:v>
      </s:c>
      <s:c r="D140">
        <s:v>5.5</s:v>
      </s:c>
      <s:c r="E140">
        <s:f>D140*3.5*70/200</s:f>
        <s:v>6.7374999999999998</s:v>
      </s:c>
    </s:row>
    <s:row r="141">
      <s:c r="A141" t="s">
        <s:v>276</s:v>
      </s:c>
      <s:c r="B141" t="s">
        <s:v>295</s:v>
      </s:c>
      <s:c r="C141" t="s">
        <s:v>296</s:v>
      </s:c>
      <s:c r="D141">
        <s:v>9.8000000000000007</s:v>
      </s:c>
      <s:c r="E141">
        <s:f>D141*3.5*70/200</s:f>
        <s:v>12.005000000000003</s:v>
      </s:c>
    </s:row>
    <s:row r="142">
      <s:c r="A142" t="s">
        <s:v>276</s:v>
      </s:c>
      <s:c r="B142" t="s">
        <s:v>297</s:v>
      </s:c>
      <s:c r="C142" t="s">
        <s:v>298</s:v>
      </s:c>
      <s:c r="D142">
        <s:v>5</s:v>
      </s:c>
      <s:c r="E142">
        <s:f>D142*3.5*70/200</s:f>
        <s:v>6.125</s:v>
      </s:c>
    </s:row>
    <s:row r="143">
      <s:c r="A143" t="s">
        <s:v>276</s:v>
      </s:c>
      <s:c r="B143" t="s">
        <s:v>299</s:v>
      </s:c>
      <s:c r="C143" t="s">
        <s:v>300</s:v>
      </s:c>
      <s:c r="D143">
        <s:v>11.3</s:v>
      </s:c>
      <s:c r="E143">
        <s:f>D143*3.5*70/200</s:f>
        <s:v>13.842500000000003</s:v>
      </s:c>
    </s:row>
    <s:row r="144">
      <s:c r="A144" t="s">
        <s:v>276</s:v>
      </s:c>
      <s:c r="B144" t="s">
        <s:v>301</s:v>
      </s:c>
      <s:c r="C144" t="s">
        <s:v>302</s:v>
      </s:c>
      <s:c r="D144">
        <s:v>13</s:v>
      </s:c>
      <s:c r="E144">
        <s:f>D144*3.5*70/200</s:f>
        <s:v>15.925000000000001</s:v>
      </s:c>
    </s:row>
    <s:row r="145">
      <s:c r="A145" t="s">
        <s:v>276</s:v>
      </s:c>
      <s:c r="B145" t="s">
        <s:v>303</s:v>
      </s:c>
      <s:c r="C145" t="s">
        <s:v>304</s:v>
      </s:c>
      <s:c r="D145">
        <s:v>3</s:v>
      </s:c>
      <s:c r="E145">
        <s:f>D145*3.5*70/200</s:f>
        <s:v>3.6749999999999998</s:v>
      </s:c>
    </s:row>
    <s:row r="146">
      <s:c r="A146" t="s">
        <s:v>276</s:v>
      </s:c>
      <s:c r="B146" t="s">
        <s:v>305</s:v>
      </s:c>
      <s:c r="C146" t="s">
        <s:v>306</s:v>
      </s:c>
      <s:c r="D146">
        <s:v>6</s:v>
      </s:c>
      <s:c r="E146">
        <s:f>D146*3.5*70/200</s:f>
        <s:v>7.35</s:v>
      </s:c>
    </s:row>
    <s:row r="147">
      <s:c r="A147" t="s">
        <s:v>276</s:v>
      </s:c>
      <s:c r="B147" t="s">
        <s:v>307</s:v>
      </s:c>
      <s:c r="C147" t="s">
        <s:v>308</s:v>
      </s:c>
      <s:c r="D147">
        <s:v>5.5</s:v>
      </s:c>
      <s:c r="E147">
        <s:f>D147*3.5*70/200</s:f>
        <s:v>6.7374999999999998</s:v>
      </s:c>
    </s:row>
    <s:row r="148">
      <s:c r="A148" t="s">
        <s:v>276</s:v>
      </s:c>
      <s:c r="B148" t="s">
        <s:v>309</s:v>
      </s:c>
      <s:c r="C148" t="s">
        <s:v>310</s:v>
      </s:c>
      <s:c r="D148">
        <s:v>3.5</s:v>
      </s:c>
      <s:c r="E148">
        <s:f>D148*3.5*70/200</s:f>
        <s:v>4.2874999999999996</s:v>
      </s:c>
    </s:row>
    <s:row r="149">
      <s:c r="A149" t="s">
        <s:v>276</s:v>
      </s:c>
      <s:c r="B149" t="s">
        <s:v>311</s:v>
      </s:c>
      <s:c r="C149" t="s">
        <s:v>312</s:v>
      </s:c>
      <s:c r="D149">
        <s:v>3.8</s:v>
      </s:c>
      <s:c r="E149">
        <s:f>D149*3.5*70/200</s:f>
        <s:v>4.6549999999999994</s:v>
      </s:c>
    </s:row>
    <s:row r="150">
      <s:c r="A150" t="s">
        <s:v>276</s:v>
      </s:c>
      <s:c r="B150" t="s">
        <s:v>313</s:v>
      </s:c>
      <s:c r="C150" t="s">
        <s:v>314</s:v>
      </s:c>
      <s:c r="D150">
        <s:v>4.3</s:v>
      </s:c>
      <s:c r="E150">
        <s:f>D150*3.5*70/200</s:f>
        <s:v>5.2675000000000001</s:v>
      </s:c>
    </s:row>
    <s:row r="151">
      <s:c r="A151" t="s">
        <s:v>276</s:v>
      </s:c>
      <s:c r="B151" t="s">
        <s:v>315</s:v>
      </s:c>
      <s:c r="C151" t="s">
        <s:v>316</s:v>
      </s:c>
      <s:c r="D151">
        <s:v>8.5</s:v>
      </s:c>
      <s:c r="E151">
        <s:f>D151*3.5*70/200</s:f>
        <s:v>10.4125</s:v>
      </s:c>
    </s:row>
    <s:row r="152">
      <s:c r="A152" t="s">
        <s:v>276</s:v>
      </s:c>
      <s:c r="B152" t="s">
        <s:v>317</s:v>
      </s:c>
      <s:c r="C152" t="s">
        <s:v>318</s:v>
      </s:c>
      <s:c r="D152">
        <s:v>4.5</s:v>
      </s:c>
      <s:c r="E152">
        <s:f>D152*3.5*70/200</s:f>
        <s:v>5.5125000000000002</s:v>
      </s:c>
    </s:row>
    <s:row r="153">
      <s:c r="A153" t="s">
        <s:v>276</s:v>
      </s:c>
      <s:c r="B153" t="s">
        <s:v>319</s:v>
      </s:c>
      <s:c r="C153" t="s">
        <s:v>320</s:v>
      </s:c>
      <s:c r="D153">
        <s:v>10.3</s:v>
      </s:c>
      <s:c r="E153">
        <s:f>D153*3.5*70/200</s:f>
        <s:v>12.617500000000001</s:v>
      </s:c>
    </s:row>
    <s:row r="154">
      <s:c r="A154" t="s">
        <s:v>276</s:v>
      </s:c>
      <s:c r="B154" t="s">
        <s:v>321</s:v>
      </s:c>
      <s:c r="C154" t="s">
        <s:v>322</s:v>
      </s:c>
      <s:c r="D154">
        <s:v>5.8</s:v>
      </s:c>
      <s:c r="E154">
        <s:f>D154*3.5*70/200</s:f>
        <s:v>7.1050000000000004</s:v>
      </s:c>
    </s:row>
    <s:row r="155">
      <s:c r="A155" t="s">
        <s:v>276</s:v>
      </s:c>
      <s:c r="B155" t="s">
        <s:v>323</s:v>
      </s:c>
      <s:c r="C155" t="s">
        <s:v>324</s:v>
      </s:c>
      <s:c r="D155">
        <s:v>7</s:v>
      </s:c>
      <s:c r="E155">
        <s:f>D155*3.5*70/200</s:f>
        <s:v>8.5749999999999993</s:v>
      </s:c>
    </s:row>
    <s:row r="156">
      <s:c r="A156" t="s">
        <s:v>276</s:v>
      </s:c>
      <s:c r="B156" t="s">
        <s:v>325</s:v>
      </s:c>
      <s:c r="C156" t="s">
        <s:v>326</s:v>
      </s:c>
      <s:c r="D156">
        <s:v>8.8000000000000007</s:v>
      </s:c>
      <s:c r="E156">
        <s:f>D156*3.5*70/200</s:f>
        <s:v>10.780000000000003</s:v>
      </s:c>
    </s:row>
    <s:row r="157">
      <s:c r="A157" t="s">
        <s:v>276</s:v>
      </s:c>
      <s:c r="B157" t="s">
        <s:v>327</s:v>
      </s:c>
      <s:c r="C157" t="s">
        <s:v>328</s:v>
      </s:c>
      <s:c r="D157">
        <s:v>4.8</s:v>
      </s:c>
      <s:c r="E157">
        <s:f>D157*3.5*70/200</s:f>
        <s:v>5.88</s:v>
      </s:c>
    </s:row>
    <s:row r="158">
      <s:c r="A158" t="s">
        <s:v>276</s:v>
      </s:c>
      <s:c r="B158" t="s">
        <s:v>329</s:v>
      </s:c>
      <s:c r="C158" t="s">
        <s:v>330</s:v>
      </s:c>
      <s:c r="D158">
        <s:v>6.3</s:v>
      </s:c>
      <s:c r="E158">
        <s:f>D158*3.5*70/200</s:f>
        <s:v>7.7175000000000002</s:v>
      </s:c>
    </s:row>
    <s:row r="159">
      <s:c r="A159" t="s">
        <s:v>276</s:v>
      </s:c>
      <s:c r="B159" t="s">
        <s:v>331</s:v>
      </s:c>
      <s:c r="C159" t="s">
        <s:v>332</s:v>
      </s:c>
      <s:c r="D159">
        <s:v>5.5</s:v>
      </s:c>
      <s:c r="E159">
        <s:f>D159*3.5*70/200</s:f>
        <s:v>6.7374999999999998</s:v>
      </s:c>
    </s:row>
    <s:row r="160">
      <s:c r="A160" t="s">
        <s:v>333</s:v>
      </s:c>
      <s:c r="B160" t="s">
        <s:v>334</s:v>
      </s:c>
      <s:c r="C160" t="s">
        <s:v>335</s:v>
      </s:c>
      <s:c r="D160">
        <s:v>3.5</s:v>
      </s:c>
      <s:c r="E160">
        <s:f>D160*3.5*70/200</s:f>
        <s:v>4.2874999999999996</s:v>
      </s:c>
    </s:row>
    <s:row r="161">
      <s:c r="A161" t="s">
        <s:v>333</s:v>
      </s:c>
      <s:c r="B161" t="s">
        <s:v>336</s:v>
      </s:c>
      <s:c r="C161" t="s">
        <s:v>337</s:v>
      </s:c>
      <s:c r="D161">
        <s:v>4.5</s:v>
      </s:c>
      <s:c r="E161">
        <s:f>D161*3.5*70/200</s:f>
        <s:v>5.5125000000000002</s:v>
      </s:c>
    </s:row>
    <s:row r="162">
      <s:c r="A162" t="s">
        <s:v>333</s:v>
      </s:c>
      <s:c r="B162" t="s">
        <s:v>338</s:v>
      </s:c>
      <s:c r="C162" t="s">
        <s:v>339</s:v>
      </s:c>
      <s:c r="D162">
        <s:v>4</s:v>
      </s:c>
      <s:c r="E162">
        <s:f>D162*3.5*70/200</s:f>
        <s:v>4.9000000000000004</s:v>
      </s:c>
    </s:row>
    <s:row r="163">
      <s:c r="A163" t="s">
        <s:v>333</s:v>
      </s:c>
      <s:c r="B163" t="s">
        <s:v>340</s:v>
      </s:c>
      <s:c r="C163" t="s">
        <s:v>341</s:v>
      </s:c>
      <s:c r="D163">
        <s:v>4.3</s:v>
      </s:c>
      <s:c r="E163">
        <s:f>D163*3.5*70/200</s:f>
        <s:v>5.2675000000000001</s:v>
      </s:c>
    </s:row>
    <s:row r="164">
      <s:c r="A164" t="s">
        <s:v>333</s:v>
      </s:c>
      <s:c r="B164" t="s">
        <s:v>342</s:v>
      </s:c>
      <s:c r="C164" t="s">
        <s:v>343</s:v>
      </s:c>
      <s:c r="D164">
        <s:v>4</s:v>
      </s:c>
      <s:c r="E164">
        <s:f>D164*3.5*70/200</s:f>
        <s:v>4.9000000000000004</s:v>
      </s:c>
    </s:row>
    <s:row r="165">
      <s:c r="A165" t="s">
        <s:v>333</s:v>
      </s:c>
      <s:c r="B165" t="s">
        <s:v>344</s:v>
      </s:c>
      <s:c r="C165" t="s">
        <s:v>345</s:v>
      </s:c>
      <s:c r="D165">
        <s:v>2</s:v>
      </s:c>
      <s:c r="E165">
        <s:f>D165*3.5*70/200</s:f>
        <s:v>2.4500000000000002</s:v>
      </s:c>
    </s:row>
    <s:row r="166">
      <s:c r="A166" t="s">
        <s:v>333</s:v>
      </s:c>
      <s:c r="B166" t="s">
        <s:v>346</s:v>
      </s:c>
      <s:c r="C166" t="s">
        <s:v>347</s:v>
      </s:c>
      <s:c r="D166">
        <s:v>3.5</s:v>
      </s:c>
      <s:c r="E166">
        <s:f>D166*3.5*70/200</s:f>
        <s:v>4.2874999999999996</s:v>
      </s:c>
    </s:row>
    <s:row r="167">
      <s:c r="A167" t="s">
        <s:v>333</s:v>
      </s:c>
      <s:c r="B167" t="s">
        <s:v>348</s:v>
      </s:c>
      <s:c r="C167" t="s">
        <s:v>349</s:v>
      </s:c>
      <s:c r="D167">
        <s:v>6</s:v>
      </s:c>
      <s:c r="E167">
        <s:f>D167*3.5*70/200</s:f>
        <s:v>7.35</s:v>
      </s:c>
    </s:row>
    <s:row r="168">
      <s:c r="A168" t="s">
        <s:v>333</s:v>
      </s:c>
      <s:c r="B168" t="s">
        <s:v>350</s:v>
      </s:c>
      <s:c r="C168" t="s">
        <s:v>351</s:v>
      </s:c>
      <s:c r="D168">
        <s:v>2</s:v>
      </s:c>
      <s:c r="E168">
        <s:f>D168*3.5*70/200</s:f>
        <s:v>2.4500000000000002</s:v>
      </s:c>
    </s:row>
    <s:row r="169">
      <s:c r="A169" t="s">
        <s:v>333</s:v>
      </s:c>
      <s:c r="B169" t="s">
        <s:v>352</s:v>
      </s:c>
      <s:c r="C169" t="s">
        <s:v>353</s:v>
      </s:c>
      <s:c r="D169">
        <s:v>1.8</s:v>
      </s:c>
      <s:c r="E169">
        <s:f>D169*3.5*70/200</s:f>
        <s:v>2.2050000000000001</s:v>
      </s:c>
    </s:row>
    <s:row r="170">
      <s:c r="A170" t="s">
        <s:v>333</s:v>
      </s:c>
      <s:c r="B170" t="s">
        <s:v>354</s:v>
      </s:c>
      <s:c r="C170" t="s">
        <s:v>355</s:v>
      </s:c>
      <s:c r="D170">
        <s:v>3.5</s:v>
      </s:c>
      <s:c r="E170">
        <s:f>D170*3.5*70/200</s:f>
        <s:v>4.2874999999999996</s:v>
      </s:c>
    </s:row>
    <s:row r="171">
      <s:c r="A171" t="s">
        <s:v>333</s:v>
      </s:c>
      <s:c r="B171" t="s">
        <s:v>356</s:v>
      </s:c>
      <s:c r="C171" t="s">
        <s:v>357</s:v>
      </s:c>
      <s:c r="D171">
        <s:v>3.8</s:v>
      </s:c>
      <s:c r="E171">
        <s:f>D171*3.5*70/200</s:f>
        <s:v>4.6549999999999994</s:v>
      </s:c>
    </s:row>
    <s:row r="172">
      <s:c r="A172" t="s">
        <s:v>333</s:v>
      </s:c>
      <s:c r="B172" t="s">
        <s:v>358</s:v>
      </s:c>
      <s:c r="C172" t="s">
        <s:v>359</s:v>
      </s:c>
      <s:c r="D172">
        <s:v>3</s:v>
      </s:c>
      <s:c r="E172">
        <s:f>D172*3.5*70/200</s:f>
        <s:v>3.6749999999999998</s:v>
      </s:c>
    </s:row>
    <s:row r="173">
      <s:c r="A173" t="s">
        <s:v>333</s:v>
      </s:c>
      <s:c r="B173" t="s">
        <s:v>360</s:v>
      </s:c>
      <s:c r="C173" t="s">
        <s:v>361</s:v>
      </s:c>
      <s:c r="D173">
        <s:v>2.2999999999999998</s:v>
      </s:c>
      <s:c r="E173">
        <s:f>D173*3.5*70/200</s:f>
        <s:v>2.8174999999999994</s:v>
      </s:c>
    </s:row>
    <s:row r="174">
      <s:c r="A174" t="s">
        <s:v>333</s:v>
      </s:c>
      <s:c r="B174" t="s">
        <s:v>362</s:v>
      </s:c>
      <s:c r="C174" t="s">
        <s:v>363</s:v>
      </s:c>
      <s:c r="D174">
        <s:v>2.5</s:v>
      </s:c>
      <s:c r="E174">
        <s:f>D174*3.5*70/200</s:f>
        <s:v>3.0625</s:v>
      </s:c>
    </s:row>
    <s:row r="175">
      <s:c r="A175" t="s">
        <s:v>333</s:v>
      </s:c>
      <s:c r="B175" t="s">
        <s:v>364</s:v>
      </s:c>
      <s:c r="C175" t="s">
        <s:v>365</s:v>
      </s:c>
      <s:c r="D175">
        <s:v>6</s:v>
      </s:c>
      <s:c r="E175">
        <s:f>D175*3.5*70/200</s:f>
        <s:v>7.35</s:v>
      </s:c>
    </s:row>
    <s:row r="176">
      <s:c r="A176" t="s">
        <s:v>333</s:v>
      </s:c>
      <s:c r="B176" t="s">
        <s:v>366</s:v>
      </s:c>
      <s:c r="C176" t="s">
        <s:v>367</s:v>
      </s:c>
      <s:c r="D176">
        <s:v>9.8000000000000007</s:v>
      </s:c>
      <s:c r="E176">
        <s:f>D176*3.5*70/200</s:f>
        <s:v>12.005000000000003</s:v>
      </s:c>
    </s:row>
    <s:row r="177">
      <s:c r="A177" t="s">
        <s:v>333</s:v>
      </s:c>
      <s:c r="B177" t="s">
        <s:v>368</s:v>
      </s:c>
      <s:c r="C177" t="s">
        <s:v>369</s:v>
      </s:c>
      <s:c r="D177">
        <s:v>4</s:v>
      </s:c>
      <s:c r="E177">
        <s:f>D177*3.5*70/200</s:f>
        <s:v>4.9000000000000004</s:v>
      </s:c>
    </s:row>
    <s:row r="178">
      <s:c r="A178" t="s">
        <s:v>333</s:v>
      </s:c>
      <s:c r="B178" t="s">
        <s:v>370</s:v>
      </s:c>
      <s:c r="C178" t="s">
        <s:v>371</s:v>
      </s:c>
      <s:c r="D178">
        <s:v>2.5</s:v>
      </s:c>
      <s:c r="E178">
        <s:f>D178*3.5*70/200</s:f>
        <s:v>3.0625</s:v>
      </s:c>
    </s:row>
    <s:row r="179">
      <s:c r="A179" t="s">
        <s:v>333</s:v>
      </s:c>
      <s:c r="B179" t="s">
        <s:v>372</s:v>
      </s:c>
      <s:c r="C179" t="s">
        <s:v>373</s:v>
      </s:c>
      <s:c r="D179">
        <s:v>2</s:v>
      </s:c>
      <s:c r="E179">
        <s:f>D179*3.5*70/200</s:f>
        <s:v>2.4500000000000002</s:v>
      </s:c>
    </s:row>
    <s:row r="180">
      <s:c r="A180" t="s">
        <s:v>333</s:v>
      </s:c>
      <s:c r="B180" t="s">
        <s:v>374</s:v>
      </s:c>
      <s:c r="C180" t="s">
        <s:v>375</s:v>
      </s:c>
      <s:c r="D180">
        <s:v>2.5</s:v>
      </s:c>
      <s:c r="E180">
        <s:f>D180*3.5*70/200</s:f>
        <s:v>3.0625</s:v>
      </s:c>
    </s:row>
    <s:row r="181">
      <s:c r="A181" t="s">
        <s:v>333</s:v>
      </s:c>
      <s:c r="B181" t="s">
        <s:v>376</s:v>
      </s:c>
      <s:c r="C181" t="s">
        <s:v>377</s:v>
      </s:c>
      <s:c r="D181">
        <s:v>3</s:v>
      </s:c>
      <s:c r="E181">
        <s:f>D181*3.5*70/200</s:f>
        <s:v>3.6749999999999998</s:v>
      </s:c>
    </s:row>
    <s:row r="182">
      <s:c r="A182" t="s">
        <s:v>333</s:v>
      </s:c>
      <s:c r="B182" t="s">
        <s:v>378</s:v>
      </s:c>
      <s:c r="C182" t="s">
        <s:v>379</s:v>
      </s:c>
      <s:c r="D182">
        <s:v>5</s:v>
      </s:c>
      <s:c r="E182">
        <s:f>D182*3.5*70/200</s:f>
        <s:v>6.125</s:v>
      </s:c>
    </s:row>
    <s:row r="183">
      <s:c r="A183" t="s">
        <s:v>333</s:v>
      </s:c>
      <s:c r="B183" t="s">
        <s:v>380</s:v>
      </s:c>
      <s:c r="C183" t="s">
        <s:v>381</s:v>
      </s:c>
      <s:c r="D183">
        <s:v>6</s:v>
      </s:c>
      <s:c r="E183">
        <s:f>D183*3.5*70/200</s:f>
        <s:v>7.35</s:v>
      </s:c>
    </s:row>
    <s:row r="184">
      <s:c r="A184" t="s">
        <s:v>333</s:v>
      </s:c>
      <s:c r="B184" t="s">
        <s:v>382</s:v>
      </s:c>
      <s:c r="C184" t="s">
        <s:v>383</s:v>
      </s:c>
      <s:c r="D184">
        <s:v>3.3</s:v>
      </s:c>
      <s:c r="E184">
        <s:f>D184*3.5*70/200</s:f>
        <s:v>4.0424999999999995</s:v>
      </s:c>
    </s:row>
    <s:row r="185">
      <s:c r="A185" t="s">
        <s:v>333</s:v>
      </s:c>
      <s:c r="B185" t="s">
        <s:v>384</s:v>
      </s:c>
      <s:c r="C185" t="s">
        <s:v>385</s:v>
      </s:c>
      <s:c r="D185">
        <s:v>5</s:v>
      </s:c>
      <s:c r="E185">
        <s:f>D185*3.5*70/200</s:f>
        <s:v>6.125</s:v>
      </s:c>
    </s:row>
    <s:row r="186">
      <s:c r="A186" t="s">
        <s:v>333</s:v>
      </s:c>
      <s:c r="B186" t="s">
        <s:v>386</s:v>
      </s:c>
      <s:c r="C186" t="s">
        <s:v>387</s:v>
      </s:c>
      <s:c r="D186">
        <s:v>3.3</s:v>
      </s:c>
      <s:c r="E186">
        <s:f>D186*3.5*70/200</s:f>
        <s:v>4.0424999999999995</s:v>
      </s:c>
    </s:row>
    <s:row r="187">
      <s:c r="A187" t="s">
        <s:v>333</s:v>
      </s:c>
      <s:c r="B187" t="s">
        <s:v>388</s:v>
      </s:c>
      <s:c r="C187" t="s">
        <s:v>389</s:v>
      </s:c>
      <s:c r="D187">
        <s:v>2</s:v>
      </s:c>
      <s:c r="E187">
        <s:f>D187*3.5*70/200</s:f>
        <s:v>2.4500000000000002</s:v>
      </s:c>
    </s:row>
    <s:row r="188">
      <s:c r="A188" t="s">
        <s:v>333</s:v>
      </s:c>
      <s:c r="B188" t="s">
        <s:v>390</s:v>
      </s:c>
      <s:c r="C188" t="s">
        <s:v>391</s:v>
      </s:c>
      <s:c r="D188">
        <s:v>9.5</s:v>
      </s:c>
      <s:c r="E188">
        <s:f>D188*3.5*70/200</s:f>
        <s:v>11.637499999999999</s:v>
      </s:c>
    </s:row>
    <s:row r="189">
      <s:c r="A189" t="s">
        <s:v>333</s:v>
      </s:c>
      <s:c r="B189" t="s">
        <s:v>392</s:v>
      </s:c>
      <s:c r="C189" t="s">
        <s:v>393</s:v>
      </s:c>
      <s:c r="D189">
        <s:v>2.5</s:v>
      </s:c>
      <s:c r="E189">
        <s:f>D189*3.5*70/200</s:f>
        <s:v>3.0625</s:v>
      </s:c>
    </s:row>
    <s:row r="190">
      <s:c r="A190" t="s">
        <s:v>333</s:v>
      </s:c>
      <s:c r="B190" t="s">
        <s:v>394</s:v>
      </s:c>
      <s:c r="C190" t="s">
        <s:v>395</s:v>
      </s:c>
      <s:c r="D190">
        <s:v>2.2999999999999998</s:v>
      </s:c>
      <s:c r="E190">
        <s:f>D190*3.5*70/200</s:f>
        <s:v>2.8174999999999994</s:v>
      </s:c>
    </s:row>
    <s:row r="191">
      <s:c r="A191" t="s">
        <s:v>333</s:v>
      </s:c>
      <s:c r="B191" t="s">
        <s:v>396</s:v>
      </s:c>
      <s:c r="C191" t="s">
        <s:v>397</s:v>
      </s:c>
      <s:c r="D191">
        <s:v>2.5</s:v>
      </s:c>
      <s:c r="E191">
        <s:f>D191*3.5*70/200</s:f>
        <s:v>3.0625</s:v>
      </s:c>
    </s:row>
    <s:row r="192">
      <s:c r="A192" t="s">
        <s:v>333</s:v>
      </s:c>
      <s:c r="B192" t="s">
        <s:v>398</s:v>
      </s:c>
      <s:c r="C192" t="s">
        <s:v>399</s:v>
      </s:c>
      <s:c r="D192">
        <s:v>2.8</s:v>
      </s:c>
      <s:c r="E192">
        <s:f>D192*3.5*70/200</s:f>
        <s:v>3.4299999999999993</s:v>
      </s:c>
    </s:row>
    <s:row r="193">
      <s:c r="A193" t="s">
        <s:v>333</s:v>
      </s:c>
      <s:c r="B193" t="s">
        <s:v>400</s:v>
      </s:c>
      <s:c r="C193" t="s">
        <s:v>401</s:v>
      </s:c>
      <s:c r="D193">
        <s:v>3</s:v>
      </s:c>
      <s:c r="E193">
        <s:f>D193*3.5*70/200</s:f>
        <s:v>3.6749999999999998</s:v>
      </s:c>
    </s:row>
    <s:row r="194">
      <s:c r="A194" t="s">
        <s:v>333</s:v>
      </s:c>
      <s:c r="B194" t="s">
        <s:v>402</s:v>
      </s:c>
      <s:c r="C194" t="s">
        <s:v>403</s:v>
      </s:c>
      <s:c r="D194">
        <s:v>1</s:v>
      </s:c>
      <s:c r="E194">
        <s:f>D194*3.5*70/200</s:f>
        <s:v>1.2250000000000001</s:v>
      </s:c>
    </s:row>
    <s:row r="195">
      <s:c r="A195" t="s">
        <s:v>333</s:v>
      </s:c>
      <s:c r="B195" t="s">
        <s:v>404</s:v>
      </s:c>
      <s:c r="C195" t="s">
        <s:v>405</s:v>
      </s:c>
      <s:c r="D195">
        <s:v>1.5</s:v>
      </s:c>
      <s:c r="E195">
        <s:f>D195*3.5*70/200</s:f>
        <s:v>1.8374999999999999</s:v>
      </s:c>
    </s:row>
    <s:row r="196">
      <s:c r="A196" t="s">
        <s:v>333</s:v>
      </s:c>
      <s:c r="B196" t="s">
        <s:v>406</s:v>
      </s:c>
      <s:c r="C196" t="s">
        <s:v>407</s:v>
      </s:c>
      <s:c r="D196">
        <s:v>3.3</s:v>
      </s:c>
      <s:c r="E196">
        <s:f>D196*3.5*70/200</s:f>
        <s:v>4.0424999999999995</s:v>
      </s:c>
    </s:row>
    <s:row r="197">
      <s:c r="A197" t="s">
        <s:v>408</s:v>
      </s:c>
      <s:c r="B197" t="s">
        <s:v>409</s:v>
      </s:c>
      <s:c r="C197" t="s">
        <s:v>410</s:v>
      </s:c>
      <s:c r="D197">
        <s:v>3.3</s:v>
      </s:c>
      <s:c r="E197">
        <s:f>D197*3.5*70/200</s:f>
        <s:v>4.0424999999999995</s:v>
      </s:c>
    </s:row>
    <s:row r="198">
      <s:c r="A198" t="s">
        <s:v>408</s:v>
      </s:c>
      <s:c r="B198" t="s">
        <s:v>411</s:v>
      </s:c>
      <s:c r="C198" t="s">
        <s:v>412</s:v>
      </s:c>
      <s:c r="D198">
        <s:v>2.2999999999999998</s:v>
      </s:c>
      <s:c r="E198">
        <s:f>D198*3.5*70/200</s:f>
        <s:v>2.8174999999999994</s:v>
      </s:c>
    </s:row>
    <s:row r="199">
      <s:c r="A199" t="s">
        <s:v>408</s:v>
      </s:c>
      <s:c r="B199" t="s">
        <s:v>413</s:v>
      </s:c>
      <s:c r="C199" t="s">
        <s:v>414</s:v>
      </s:c>
      <s:c r="D199">
        <s:v>3.8</s:v>
      </s:c>
      <s:c r="E199">
        <s:f>D199*3.5*70/200</s:f>
        <s:v>4.6549999999999994</s:v>
      </s:c>
    </s:row>
    <s:row r="200">
      <s:c r="A200" t="s">
        <s:v>408</s:v>
      </s:c>
      <s:c r="B200" t="s">
        <s:v>415</s:v>
      </s:c>
      <s:c r="C200" t="s">
        <s:v>416</s:v>
      </s:c>
      <s:c r="D200">
        <s:v>3.5</s:v>
      </s:c>
      <s:c r="E200">
        <s:f>D200*3.5*70/200</s:f>
        <s:v>4.2874999999999996</s:v>
      </s:c>
    </s:row>
    <s:row r="201">
      <s:c r="A201" t="s">
        <s:v>408</s:v>
      </s:c>
      <s:c r="B201" t="s">
        <s:v>417</s:v>
      </s:c>
      <s:c r="C201" t="s">
        <s:v>418</s:v>
      </s:c>
      <s:c r="D201">
        <s:v>3.5</s:v>
      </s:c>
      <s:c r="E201">
        <s:f>D201*3.5*70/200</s:f>
        <s:v>4.2874999999999996</s:v>
      </s:c>
    </s:row>
    <s:row r="202">
      <s:c r="A202" t="s">
        <s:v>408</s:v>
      </s:c>
      <s:c r="B202" t="s">
        <s:v>419</s:v>
      </s:c>
      <s:c r="C202" t="s">
        <s:v>420</s:v>
      </s:c>
      <s:c r="D202">
        <s:v>3.3</s:v>
      </s:c>
      <s:c r="E202">
        <s:f>D202*3.5*70/200</s:f>
        <s:v>4.0424999999999995</s:v>
      </s:c>
    </s:row>
    <s:row r="203">
      <s:c r="A203" t="s">
        <s:v>408</s:v>
      </s:c>
      <s:c r="B203" t="s">
        <s:v>421</s:v>
      </s:c>
      <s:c r="C203" t="s">
        <s:v>422</s:v>
      </s:c>
      <s:c r="D203">
        <s:v>2.5</s:v>
      </s:c>
      <s:c r="E203">
        <s:f>D203*3.5*70/200</s:f>
        <s:v>3.0625</s:v>
      </s:c>
    </s:row>
    <s:row r="204">
      <s:c r="A204" t="s">
        <s:v>408</s:v>
      </s:c>
      <s:c r="B204" t="s">
        <s:v>423</s:v>
      </s:c>
      <s:c r="C204" t="s">
        <s:v>424</s:v>
      </s:c>
      <s:c r="D204">
        <s:v>4.5</s:v>
      </s:c>
      <s:c r="E204">
        <s:f>D204*3.5*70/200</s:f>
        <s:v>5.5125000000000002</s:v>
      </s:c>
    </s:row>
    <s:row r="205">
      <s:c r="A205" t="s">
        <s:v>408</s:v>
      </s:c>
      <s:c r="B205" t="s">
        <s:v>425</s:v>
      </s:c>
      <s:c r="C205" t="s">
        <s:v>426</s:v>
      </s:c>
      <s:c r="D205">
        <s:v>2.8</s:v>
      </s:c>
      <s:c r="E205">
        <s:f>D205*3.5*70/200</s:f>
        <s:v>3.4299999999999993</s:v>
      </s:c>
    </s:row>
    <s:row r="206">
      <s:c r="A206" t="s">
        <s:v>408</s:v>
      </s:c>
      <s:c r="B206" t="s">
        <s:v>427</s:v>
      </s:c>
      <s:c r="C206" t="s">
        <s:v>428</s:v>
      </s:c>
      <s:c r="D206">
        <s:v>3.3</s:v>
      </s:c>
      <s:c r="E206">
        <s:f>D206*3.5*70/200</s:f>
        <s:v>4.0424999999999995</s:v>
      </s:c>
    </s:row>
    <s:row r="207">
      <s:c r="A207" t="s">
        <s:v>408</s:v>
      </s:c>
      <s:c r="B207" t="s">
        <s:v>429</s:v>
      </s:c>
      <s:c r="C207" t="s">
        <s:v>430</s:v>
      </s:c>
      <s:c r="D207">
        <s:v>4.3</s:v>
      </s:c>
      <s:c r="E207">
        <s:f>D207*3.5*70/200</s:f>
        <s:v>5.2675000000000001</s:v>
      </s:c>
    </s:row>
    <s:row r="208">
      <s:c r="A208" t="s">
        <s:v>408</s:v>
      </s:c>
      <s:c r="B208" t="s">
        <s:v>431</s:v>
      </s:c>
      <s:c r="C208" t="s">
        <s:v>432</s:v>
      </s:c>
      <s:c r="D208">
        <s:v>3.3</s:v>
      </s:c>
      <s:c r="E208">
        <s:f>D208*3.5*70/200</s:f>
        <s:v>4.0424999999999995</s:v>
      </s:c>
    </s:row>
    <s:row r="209">
      <s:c r="A209" t="s">
        <s:v>408</s:v>
      </s:c>
      <s:c r="B209" t="s">
        <s:v>433</s:v>
      </s:c>
      <s:c r="C209" t="s">
        <s:v>434</s:v>
      </s:c>
      <s:c r="D209">
        <s:v>2.5</s:v>
      </s:c>
      <s:c r="E209">
        <s:f>D209*3.5*70/200</s:f>
        <s:v>3.0625</s:v>
      </s:c>
    </s:row>
    <s:row r="210">
      <s:c r="A210" t="s">
        <s:v>408</s:v>
      </s:c>
      <s:c r="B210" t="s">
        <s:v>435</s:v>
      </s:c>
      <s:c r="C210" t="s">
        <s:v>436</s:v>
      </s:c>
      <s:c r="D210">
        <s:v>3.3</s:v>
      </s:c>
      <s:c r="E210">
        <s:f>D210*3.5*70/200</s:f>
        <s:v>4.0424999999999995</s:v>
      </s:c>
    </s:row>
    <s:row r="211">
      <s:c r="A211" t="s">
        <s:v>408</s:v>
      </s:c>
      <s:c r="B211" t="s">
        <s:v>437</s:v>
      </s:c>
      <s:c r="C211" t="s">
        <s:v>438</s:v>
      </s:c>
      <s:c r="D211">
        <s:v>2.5</s:v>
      </s:c>
      <s:c r="E211">
        <s:f>D211*3.5*70/200</s:f>
        <s:v>3.0625</s:v>
      </s:c>
    </s:row>
    <s:row r="212">
      <s:c r="A212" t="s">
        <s:v>408</s:v>
      </s:c>
      <s:c r="B212" t="s">
        <s:v>439</s:v>
      </s:c>
      <s:c r="C212" t="s">
        <s:v>440</s:v>
      </s:c>
      <s:c r="D212">
        <s:v>2</s:v>
      </s:c>
      <s:c r="E212">
        <s:f>D212*3.5*70/200</s:f>
        <s:v>2.4500000000000002</s:v>
      </s:c>
    </s:row>
    <s:row r="213">
      <s:c r="A213" t="s">
        <s:v>408</s:v>
      </s:c>
      <s:c r="B213" t="s">
        <s:v>441</s:v>
      </s:c>
      <s:c r="C213" t="s">
        <s:v>442</s:v>
      </s:c>
      <s:c r="D213">
        <s:v>2</s:v>
      </s:c>
      <s:c r="E213">
        <s:f>D213*3.5*70/200</s:f>
        <s:v>2.4500000000000002</s:v>
      </s:c>
    </s:row>
    <s:row r="214">
      <s:c r="A214" t="s">
        <s:v>408</s:v>
      </s:c>
      <s:c r="B214" t="s">
        <s:v>443</s:v>
      </s:c>
      <s:c r="C214" t="s">
        <s:v>444</s:v>
      </s:c>
      <s:c r="D214">
        <s:v>3</s:v>
      </s:c>
      <s:c r="E214">
        <s:f>D214*3.5*70/200</s:f>
        <s:v>3.6749999999999998</s:v>
      </s:c>
    </s:row>
    <s:row r="215">
      <s:c r="A215" t="s">
        <s:v>408</s:v>
      </s:c>
      <s:c r="B215" t="s">
        <s:v>445</s:v>
      </s:c>
      <s:c r="C215" t="s">
        <s:v>446</s:v>
      </s:c>
      <s:c r="D215">
        <s:v>3</s:v>
      </s:c>
      <s:c r="E215">
        <s:f>D215*3.5*70/200</s:f>
        <s:v>3.6749999999999998</s:v>
      </s:c>
    </s:row>
    <s:row r="216">
      <s:c r="A216" t="s">
        <s:v>408</s:v>
      </s:c>
      <s:c r="B216" t="s">
        <s:v>447</s:v>
      </s:c>
      <s:c r="C216" t="s">
        <s:v>448</s:v>
      </s:c>
      <s:c r="D216">
        <s:v>6</s:v>
      </s:c>
      <s:c r="E216">
        <s:f>D216*3.5*70/200</s:f>
        <s:v>7.35</s:v>
      </s:c>
    </s:row>
    <s:row r="217">
      <s:c r="A217" t="s">
        <s:v>408</s:v>
      </s:c>
      <s:c r="B217" t="s">
        <s:v>449</s:v>
      </s:c>
      <s:c r="C217" t="s">
        <s:v>450</s:v>
      </s:c>
      <s:c r="D217">
        <s:v>2.2999999999999998</s:v>
      </s:c>
      <s:c r="E217">
        <s:f>D217*3.5*70/200</s:f>
        <s:v>2.8174999999999994</s:v>
      </s:c>
    </s:row>
    <s:row r="218">
      <s:c r="A218" t="s">
        <s:v>408</s:v>
      </s:c>
      <s:c r="B218" t="s">
        <s:v>451</s:v>
      </s:c>
      <s:c r="C218" t="s">
        <s:v>452</s:v>
      </s:c>
      <s:c r="D218">
        <s:v>4</s:v>
      </s:c>
      <s:c r="E218">
        <s:f>D218*3.5*70/200</s:f>
        <s:v>4.9000000000000004</s:v>
      </s:c>
    </s:row>
    <s:row r="219">
      <s:c r="A219" t="s">
        <s:v>408</s:v>
      </s:c>
      <s:c r="B219" t="s">
        <s:v>453</s:v>
      </s:c>
      <s:c r="C219" t="s">
        <s:v>454</s:v>
      </s:c>
      <s:c r="D219">
        <s:v>3.5</s:v>
      </s:c>
      <s:c r="E219">
        <s:f>D219*3.5*70/200</s:f>
        <s:v>4.2874999999999996</s:v>
      </s:c>
    </s:row>
    <s:row r="220">
      <s:c r="A220" t="s">
        <s:v>408</s:v>
      </s:c>
      <s:c r="B220" t="s">
        <s:v>455</s:v>
      </s:c>
      <s:c r="C220" t="s">
        <s:v>456</s:v>
      </s:c>
      <s:c r="D220">
        <s:v>2</s:v>
      </s:c>
      <s:c r="E220">
        <s:f>D220*3.5*70/200</s:f>
        <s:v>2.4500000000000002</s:v>
      </s:c>
    </s:row>
    <s:row r="221">
      <s:c r="A221" t="s">
        <s:v>408</s:v>
      </s:c>
      <s:c r="B221" t="s">
        <s:v>457</s:v>
      </s:c>
      <s:c r="C221" t="s">
        <s:v>458</s:v>
      </s:c>
      <s:c r="D221">
        <s:v>2.2999999999999998</s:v>
      </s:c>
      <s:c r="E221">
        <s:f>D221*3.5*70/200</s:f>
        <s:v>2.8174999999999994</s:v>
      </s:c>
    </s:row>
    <s:row r="222">
      <s:c r="A222" t="s">
        <s:v>408</s:v>
      </s:c>
      <s:c r="B222" t="s">
        <s:v>459</s:v>
      </s:c>
      <s:c r="C222" t="s">
        <s:v>460</s:v>
      </s:c>
      <s:c r="D222">
        <s:v>2.2999999999999998</s:v>
      </s:c>
      <s:c r="E222">
        <s:f>D222*3.5*70/200</s:f>
        <s:v>2.8174999999999994</s:v>
      </s:c>
    </s:row>
    <s:row r="223">
      <s:c r="A223" t="s">
        <s:v>408</s:v>
      </s:c>
      <s:c r="B223" t="s">
        <s:v>461</s:v>
      </s:c>
      <s:c r="C223" t="s">
        <s:v>462</s:v>
      </s:c>
      <s:c r="D223">
        <s:v>2.5</s:v>
      </s:c>
      <s:c r="E223">
        <s:f>D223*3.5*70/200</s:f>
        <s:v>3.0625</s:v>
      </s:c>
    </s:row>
    <s:row r="224">
      <s:c r="A224" t="s">
        <s:v>408</s:v>
      </s:c>
      <s:c r="B224" t="s">
        <s:v>463</s:v>
      </s:c>
      <s:c r="C224" t="s">
        <s:v>464</s:v>
      </s:c>
      <s:c r="D224">
        <s:v>3.5</s:v>
      </s:c>
      <s:c r="E224">
        <s:f>D224*3.5*70/200</s:f>
        <s:v>4.2874999999999996</s:v>
      </s:c>
    </s:row>
    <s:row r="225">
      <s:c r="A225" t="s">
        <s:v>408</s:v>
      </s:c>
      <s:c r="B225" t="s">
        <s:v>465</s:v>
      </s:c>
      <s:c r="C225" t="s">
        <s:v>466</s:v>
      </s:c>
      <s:c r="D225">
        <s:v>2.5</s:v>
      </s:c>
      <s:c r="E225">
        <s:f>D225*3.5*70/200</s:f>
        <s:v>3.0625</s:v>
      </s:c>
    </s:row>
    <s:row r="226">
      <s:c r="A226" t="s">
        <s:v>408</s:v>
      </s:c>
      <s:c r="B226" t="s">
        <s:v>467</s:v>
      </s:c>
      <s:c r="C226" t="s">
        <s:v>468</s:v>
      </s:c>
      <s:c r="D226">
        <s:v>5.3</s:v>
      </s:c>
      <s:c r="E226">
        <s:f>D226*3.5*70/200</s:f>
        <s:v>6.4924999999999997</s:v>
      </s:c>
    </s:row>
    <s:row r="227">
      <s:c r="A227" t="s">
        <s:v>408</s:v>
      </s:c>
      <s:c r="B227" t="s">
        <s:v>469</s:v>
      </s:c>
      <s:c r="C227" t="s">
        <s:v>470</s:v>
      </s:c>
      <s:c r="D227">
        <s:v>3</s:v>
      </s:c>
      <s:c r="E227">
        <s:f>D227*3.5*70/200</s:f>
        <s:v>3.6749999999999998</s:v>
      </s:c>
    </s:row>
    <s:row r="228">
      <s:c r="A228" t="s">
        <s:v>408</s:v>
      </s:c>
      <s:c r="B228" t="s">
        <s:v>471</s:v>
      </s:c>
      <s:c r="C228" t="s">
        <s:v>472</s:v>
      </s:c>
      <s:c r="D228">
        <s:v>3.3</s:v>
      </s:c>
      <s:c r="E228">
        <s:f>D228*3.5*70/200</s:f>
        <s:v>4.0424999999999995</s:v>
      </s:c>
    </s:row>
    <s:row r="229">
      <s:c r="A229" t="s">
        <s:v>408</s:v>
      </s:c>
      <s:c r="B229" t="s">
        <s:v>473</s:v>
      </s:c>
      <s:c r="C229" t="s">
        <s:v>474</s:v>
      </s:c>
      <s:c r="D229">
        <s:v>2.2999999999999998</s:v>
      </s:c>
      <s:c r="E229">
        <s:f>D229*3.5*70/200</s:f>
        <s:v>2.8174999999999994</s:v>
      </s:c>
    </s:row>
    <s:row r="230">
      <s:c r="A230" t="s">
        <s:v>408</s:v>
      </s:c>
      <s:c r="B230" t="s">
        <s:v>475</s:v>
      </s:c>
      <s:c r="C230" t="s">
        <s:v>476</s:v>
      </s:c>
      <s:c r="D230">
        <s:v>1.8</s:v>
      </s:c>
      <s:c r="E230">
        <s:f>D230*3.5*70/200</s:f>
        <s:v>2.2050000000000001</s:v>
      </s:c>
    </s:row>
    <s:row r="231">
      <s:c r="A231" t="s">
        <s:v>408</s:v>
      </s:c>
      <s:c r="B231" t="s">
        <s:v>477</s:v>
      </s:c>
      <s:c r="C231" t="s">
        <s:v>478</s:v>
      </s:c>
      <s:c r="D231">
        <s:v>1.3</s:v>
      </s:c>
      <s:c r="E231">
        <s:f>D231*3.5*70/200</s:f>
        <s:v>1.5925</s:v>
      </s:c>
    </s:row>
    <s:row r="232">
      <s:c r="A232" t="s">
        <s:v>408</s:v>
      </s:c>
      <s:c r="B232" t="s">
        <s:v>479</s:v>
      </s:c>
      <s:c r="C232" t="s">
        <s:v>480</s:v>
      </s:c>
      <s:c r="D232">
        <s:v>2.8</s:v>
      </s:c>
      <s:c r="E232">
        <s:f>D232*3.5*70/200</s:f>
        <s:v>3.4299999999999993</s:v>
      </s:c>
    </s:row>
    <s:row r="233">
      <s:c r="A233" t="s">
        <s:v>408</s:v>
      </s:c>
      <s:c r="B233" t="s">
        <s:v>481</s:v>
      </s:c>
      <s:c r="C233" t="s">
        <s:v>482</s:v>
      </s:c>
      <s:c r="D233">
        <s:v>2.2999999999999998</s:v>
      </s:c>
      <s:c r="E233">
        <s:f>D233*3.5*70/200</s:f>
        <s:v>2.8174999999999994</s:v>
      </s:c>
    </s:row>
    <s:row r="234">
      <s:c r="A234" t="s">
        <s:v>408</s:v>
      </s:c>
      <s:c r="B234" t="s">
        <s:v>483</s:v>
      </s:c>
      <s:c r="C234" t="s">
        <s:v>484</s:v>
      </s:c>
      <s:c r="D234">
        <s:v>2</s:v>
      </s:c>
      <s:c r="E234">
        <s:f>D234*3.5*70/200</s:f>
        <s:v>2.4500000000000002</s:v>
      </s:c>
    </s:row>
    <s:row r="235">
      <s:c r="A235" t="s">
        <s:v>408</s:v>
      </s:c>
      <s:c r="B235" t="s">
        <s:v>485</s:v>
      </s:c>
      <s:c r="C235" t="s">
        <s:v>486</s:v>
      </s:c>
      <s:c r="D235">
        <s:v>4</s:v>
      </s:c>
      <s:c r="E235">
        <s:f>D235*3.5*70/200</s:f>
        <s:v>4.9000000000000004</s:v>
      </s:c>
    </s:row>
    <s:row r="236">
      <s:c r="A236" t="s">
        <s:v>408</s:v>
      </s:c>
      <s:c r="B236" t="s">
        <s:v>487</s:v>
      </s:c>
      <s:c r="C236" t="s">
        <s:v>488</s:v>
      </s:c>
      <s:c r="D236">
        <s:v>2</s:v>
      </s:c>
      <s:c r="E236">
        <s:f>D236*3.5*70/200</s:f>
        <s:v>2.4500000000000002</s:v>
      </s:c>
    </s:row>
    <s:row r="237">
      <s:c r="A237" t="s">
        <s:v>408</s:v>
      </s:c>
      <s:c r="B237" t="s">
        <s:v>489</s:v>
      </s:c>
      <s:c r="C237" t="s">
        <s:v>490</s:v>
      </s:c>
      <s:c r="D237">
        <s:v>3</s:v>
      </s:c>
      <s:c r="E237">
        <s:f>D237*3.5*70/200</s:f>
        <s:v>3.6749999999999998</s:v>
      </s:c>
    </s:row>
    <s:row r="238">
      <s:c r="A238" t="s">
        <s:v>408</s:v>
      </s:c>
      <s:c r="B238" t="s">
        <s:v>491</s:v>
      </s:c>
      <s:c r="C238" t="s">
        <s:v>492</s:v>
      </s:c>
      <s:c r="D238">
        <s:v>5</s:v>
      </s:c>
      <s:c r="E238">
        <s:f>D238*3.5*70/200</s:f>
        <s:v>6.125</s:v>
      </s:c>
    </s:row>
    <s:row r="239">
      <s:c r="A239" t="s">
        <s:v>408</s:v>
      </s:c>
      <s:c r="B239" t="s">
        <s:v>493</s:v>
      </s:c>
      <s:c r="C239" t="s">
        <s:v>494</s:v>
      </s:c>
      <s:c r="D239">
        <s:v>5.8</s:v>
      </s:c>
      <s:c r="E239">
        <s:f>D239*3.5*70/200</s:f>
        <s:v>7.1050000000000004</s:v>
      </s:c>
    </s:row>
    <s:row r="240">
      <s:c r="A240" t="s">
        <s:v>408</s:v>
      </s:c>
      <s:c r="B240" t="s">
        <s:v>495</s:v>
      </s:c>
      <s:c r="C240" t="s">
        <s:v>496</s:v>
      </s:c>
      <s:c r="D240">
        <s:v>5</s:v>
      </s:c>
      <s:c r="E240">
        <s:f>D240*3.5*70/200</s:f>
        <s:v>6.125</s:v>
      </s:c>
    </s:row>
    <s:row r="241">
      <s:c r="A241" t="s">
        <s:v>408</s:v>
      </s:c>
      <s:c r="B241" t="s">
        <s:v>497</s:v>
      </s:c>
      <s:c r="C241" t="s">
        <s:v>498</s:v>
      </s:c>
      <s:c r="D241">
        <s:v>4.8</s:v>
      </s:c>
      <s:c r="E241">
        <s:f>D241*3.5*70/200</s:f>
        <s:v>5.88</s:v>
      </s:c>
    </s:row>
    <s:row r="242">
      <s:c r="A242" t="s">
        <s:v>408</s:v>
      </s:c>
      <s:c r="B242" t="s">
        <s:v>499</s:v>
      </s:c>
      <s:c r="C242" t="s">
        <s:v>500</s:v>
      </s:c>
      <s:c r="D242">
        <s:v>3.5</s:v>
      </s:c>
      <s:c r="E242">
        <s:f>D242*3.5*70/200</s:f>
        <s:v>4.2874999999999996</s:v>
      </s:c>
    </s:row>
    <s:row r="243">
      <s:c r="A243" t="s">
        <s:v>408</s:v>
      </s:c>
      <s:c r="B243" t="s">
        <s:v>501</s:v>
      </s:c>
      <s:c r="C243" t="s">
        <s:v>502</s:v>
      </s:c>
      <s:c r="D243">
        <s:v>2</s:v>
      </s:c>
      <s:c r="E243">
        <s:f>D243*3.5*70/200</s:f>
        <s:v>2.4500000000000002</s:v>
      </s:c>
    </s:row>
    <s:row r="244">
      <s:c r="A244" t="s">
        <s:v>408</s:v>
      </s:c>
      <s:c r="B244" t="s">
        <s:v>503</s:v>
      </s:c>
      <s:c r="C244" t="s">
        <s:v>504</s:v>
      </s:c>
      <s:c r="D244">
        <s:v>6.5</s:v>
      </s:c>
      <s:c r="E244">
        <s:f>D244*3.5*70/200</s:f>
        <s:v>7.9625000000000004</s:v>
      </s:c>
    </s:row>
    <s:row r="245">
      <s:c r="A245" t="s">
        <s:v>408</s:v>
      </s:c>
      <s:c r="B245" t="s">
        <s:v>505</s:v>
      </s:c>
      <s:c r="C245" t="s">
        <s:v>506</s:v>
      </s:c>
      <s:c r="D245">
        <s:v>3</s:v>
      </s:c>
      <s:c r="E245">
        <s:f>D245*3.5*70/200</s:f>
        <s:v>3.6749999999999998</s:v>
      </s:c>
    </s:row>
    <s:row r="246">
      <s:c r="A246" t="s">
        <s:v>408</s:v>
      </s:c>
      <s:c r="B246" t="s">
        <s:v>507</s:v>
      </s:c>
      <s:c r="C246" t="s">
        <s:v>508</s:v>
      </s:c>
      <s:c r="D246">
        <s:v>3.8</s:v>
      </s:c>
      <s:c r="E246">
        <s:f>D246*3.5*70/200</s:f>
        <s:v>4.6549999999999994</s:v>
      </s:c>
    </s:row>
    <s:row r="247">
      <s:c r="A247" t="s">
        <s:v>408</s:v>
      </s:c>
      <s:c r="B247" t="s">
        <s:v>509</s:v>
      </s:c>
      <s:c r="C247" t="s">
        <s:v>510</s:v>
      </s:c>
      <s:c r="D247">
        <s:v>3</s:v>
      </s:c>
      <s:c r="E247">
        <s:f>D247*3.5*70/200</s:f>
        <s:v>3.6749999999999998</s:v>
      </s:c>
    </s:row>
    <s:row r="248">
      <s:c r="A248" t="s">
        <s:v>408</s:v>
      </s:c>
      <s:c r="B248" t="s">
        <s:v>511</s:v>
      </s:c>
      <s:c r="C248" t="s">
        <s:v>512</s:v>
      </s:c>
      <s:c r="D248">
        <s:v>2</s:v>
      </s:c>
      <s:c r="E248">
        <s:f>D248*3.5*70/200</s:f>
        <s:v>2.4500000000000002</s:v>
      </s:c>
    </s:row>
    <s:row r="249">
      <s:c r="A249" t="s">
        <s:v>408</s:v>
      </s:c>
      <s:c r="B249" t="s">
        <s:v>513</s:v>
      </s:c>
      <s:c r="C249" t="s">
        <s:v>514</s:v>
      </s:c>
      <s:c r="D249">
        <s:v>2.5</s:v>
      </s:c>
      <s:c r="E249">
        <s:f>D249*3.5*70/200</s:f>
        <s:v>3.0625</s:v>
      </s:c>
    </s:row>
    <s:row r="250">
      <s:c r="A250" t="s">
        <s:v>408</s:v>
      </s:c>
      <s:c r="B250" t="s">
        <s:v>515</s:v>
      </s:c>
      <s:c r="C250" t="s">
        <s:v>516</s:v>
      </s:c>
      <s:c r="D250">
        <s:v>9</s:v>
      </s:c>
      <s:c r="E250">
        <s:f>D250*3.5*70/200</s:f>
        <s:v>11.025</s:v>
      </s:c>
    </s:row>
    <s:row r="251">
      <s:c r="A251" t="s">
        <s:v>408</s:v>
      </s:c>
      <s:c r="B251" t="s">
        <s:v>517</s:v>
      </s:c>
      <s:c r="C251" t="s">
        <s:v>518</s:v>
      </s:c>
      <s:c r="D251">
        <s:v>2</s:v>
      </s:c>
      <s:c r="E251">
        <s:f>D251*3.5*70/200</s:f>
        <s:v>2.4500000000000002</s:v>
      </s:c>
    </s:row>
    <s:row r="252">
      <s:c r="A252" t="s">
        <s:v>408</s:v>
      </s:c>
      <s:c r="B252" t="s">
        <s:v>519</s:v>
      </s:c>
      <s:c r="C252" t="s">
        <s:v>520</s:v>
      </s:c>
      <s:c r="D252">
        <s:v>3.5</s:v>
      </s:c>
      <s:c r="E252">
        <s:f>D252*3.5*70/200</s:f>
        <s:v>4.2874999999999996</s:v>
      </s:c>
    </s:row>
    <s:row r="253">
      <s:c r="A253" t="s">
        <s:v>408</s:v>
      </s:c>
      <s:c r="B253" t="s">
        <s:v>521</s:v>
      </s:c>
      <s:c r="C253" t="s">
        <s:v>522</s:v>
      </s:c>
      <s:c r="D253">
        <s:v>2.2999999999999998</s:v>
      </s:c>
      <s:c r="E253">
        <s:f>D253*3.5*70/200</s:f>
        <s:v>2.8174999999999994</s:v>
      </s:c>
    </s:row>
    <s:row r="254">
      <s:c r="A254" t="s">
        <s:v>408</s:v>
      </s:c>
      <s:c r="B254" t="s">
        <s:v>523</s:v>
      </s:c>
      <s:c r="C254" t="s">
        <s:v>524</s:v>
      </s:c>
      <s:c r="D254">
        <s:v>2.8</s:v>
      </s:c>
      <s:c r="E254">
        <s:f>D254*3.5*70/200</s:f>
        <s:v>3.4299999999999993</s:v>
      </s:c>
    </s:row>
    <s:row r="255">
      <s:c r="A255" t="s">
        <s:v>408</s:v>
      </s:c>
      <s:c r="B255" t="s">
        <s:v>525</s:v>
      </s:c>
      <s:c r="C255" t="s">
        <s:v>526</s:v>
      </s:c>
      <s:c r="D255">
        <s:v>3.5</s:v>
      </s:c>
      <s:c r="E255">
        <s:f>D255*3.5*70/200</s:f>
        <s:v>4.2874999999999996</s:v>
      </s:c>
    </s:row>
    <s:row r="256">
      <s:c r="A256" t="s">
        <s:v>408</s:v>
      </s:c>
      <s:c r="B256" t="s">
        <s:v>527</s:v>
      </s:c>
      <s:c r="C256" t="s">
        <s:v>528</s:v>
      </s:c>
      <s:c r="D256">
        <s:v>5.8</s:v>
      </s:c>
      <s:c r="E256">
        <s:f>D256*3.5*70/200</s:f>
        <s:v>7.1050000000000004</s:v>
      </s:c>
    </s:row>
    <s:row r="257">
      <s:c r="A257" t="s">
        <s:v>408</s:v>
      </s:c>
      <s:c r="B257" t="s">
        <s:v>529</s:v>
      </s:c>
      <s:c r="C257" t="s">
        <s:v>530</s:v>
      </s:c>
      <s:c r="D257">
        <s:v>3</s:v>
      </s:c>
      <s:c r="E257">
        <s:f>D257*3.5*70/200</s:f>
        <s:v>3.6749999999999998</s:v>
      </s:c>
    </s:row>
    <s:row r="258">
      <s:c r="A258" t="s">
        <s:v>408</s:v>
      </s:c>
      <s:c r="B258" t="s">
        <s:v>531</s:v>
      </s:c>
      <s:c r="C258" t="s">
        <s:v>532</s:v>
      </s:c>
      <s:c r="D258">
        <s:v>2.5</s:v>
      </s:c>
      <s:c r="E258">
        <s:f>D258*3.5*70/200</s:f>
        <s:v>3.0625</s:v>
      </s:c>
    </s:row>
    <s:row r="259">
      <s:c r="A259" t="s">
        <s:v>408</s:v>
      </s:c>
      <s:c r="B259" t="s">
        <s:v>533</s:v>
      </s:c>
      <s:c r="C259" t="s">
        <s:v>534</s:v>
      </s:c>
      <s:c r="D259">
        <s:v>2</s:v>
      </s:c>
      <s:c r="E259">
        <s:f>D259*3.5*70/200</s:f>
        <s:v>2.4500000000000002</s:v>
      </s:c>
    </s:row>
    <s:row r="260">
      <s:c r="A260" t="s">
        <s:v>408</s:v>
      </s:c>
      <s:c r="B260" t="s">
        <s:v>535</s:v>
      </s:c>
      <s:c r="C260" t="s">
        <s:v>536</s:v>
      </s:c>
      <s:c r="D260">
        <s:v>2.5</s:v>
      </s:c>
      <s:c r="E260">
        <s:f>D260*3.5*70/200</s:f>
        <s:v>3.0625</s:v>
      </s:c>
    </s:row>
    <s:row r="261">
      <s:c r="A261" t="s">
        <s:v>408</s:v>
      </s:c>
      <s:c r="B261" t="s">
        <s:v>537</s:v>
      </s:c>
      <s:c r="C261" t="s">
        <s:v>538</s:v>
      </s:c>
      <s:c r="D261">
        <s:v>2</s:v>
      </s:c>
      <s:c r="E261">
        <s:f>D261*3.5*70/200</s:f>
        <s:v>2.4500000000000002</s:v>
      </s:c>
    </s:row>
    <s:row r="262">
      <s:c r="A262" t="s">
        <s:v>408</s:v>
      </s:c>
      <s:c r="B262" t="s">
        <s:v>539</s:v>
      </s:c>
      <s:c r="C262" t="s">
        <s:v>540</s:v>
      </s:c>
      <s:c r="D262">
        <s:v>3.5</s:v>
      </s:c>
      <s:c r="E262">
        <s:f>D262*3.5*70/200</s:f>
        <s:v>4.2874999999999996</s:v>
      </s:c>
    </s:row>
    <s:row r="263">
      <s:c r="A263" t="s">
        <s:v>408</s:v>
      </s:c>
      <s:c r="B263" t="s">
        <s:v>541</s:v>
      </s:c>
      <s:c r="C263" t="s">
        <s:v>542</s:v>
      </s:c>
      <s:c r="D263">
        <s:v>1.5</s:v>
      </s:c>
      <s:c r="E263">
        <s:f>D263*3.5*70/200</s:f>
        <s:v>1.8374999999999999</s:v>
      </s:c>
    </s:row>
    <s:row r="264">
      <s:c r="A264" t="s">
        <s:v>408</s:v>
      </s:c>
      <s:c r="B264" t="s">
        <s:v>543</s:v>
      </s:c>
      <s:c r="C264" t="s">
        <s:v>544</s:v>
      </s:c>
      <s:c r="D264">
        <s:v>2</s:v>
      </s:c>
      <s:c r="E264">
        <s:f>D264*3.5*70/200</s:f>
        <s:v>2.4500000000000002</s:v>
      </s:c>
    </s:row>
    <s:row r="265">
      <s:c r="A265" t="s">
        <s:v>408</s:v>
      </s:c>
      <s:c r="B265" t="s">
        <s:v>545</s:v>
      </s:c>
      <s:c r="C265" t="s">
        <s:v>546</s:v>
      </s:c>
      <s:c r="D265">
        <s:v>2.5</s:v>
      </s:c>
      <s:c r="E265">
        <s:f>D265*3.5*70/200</s:f>
        <s:v>3.0625</s:v>
      </s:c>
    </s:row>
    <s:row r="266">
      <s:c r="A266" t="s">
        <s:v>408</s:v>
      </s:c>
      <s:c r="B266" t="s">
        <s:v>547</s:v>
      </s:c>
      <s:c r="C266" t="s">
        <s:v>548</s:v>
      </s:c>
      <s:c r="D266">
        <s:v>2.8</s:v>
      </s:c>
      <s:c r="E266">
        <s:f>D266*3.5*70/200</s:f>
        <s:v>3.4299999999999993</s:v>
      </s:c>
    </s:row>
    <s:row r="267">
      <s:c r="A267" t="s">
        <s:v>408</s:v>
      </s:c>
      <s:c r="B267" t="s">
        <s:v>549</s:v>
      </s:c>
      <s:c r="C267" t="s">
        <s:v>550</s:v>
      </s:c>
      <s:c r="D267">
        <s:v>2.8</s:v>
      </s:c>
      <s:c r="E267">
        <s:f>D267*3.5*70/200</s:f>
        <s:v>3.4299999999999993</s:v>
      </s:c>
    </s:row>
    <s:row r="268">
      <s:c r="A268" t="s">
        <s:v>408</s:v>
      </s:c>
      <s:c r="B268" t="s">
        <s:v>551</s:v>
      </s:c>
      <s:c r="C268" t="s">
        <s:v>552</s:v>
      </s:c>
      <s:c r="D268">
        <s:v>4</s:v>
      </s:c>
      <s:c r="E268">
        <s:f>D268*3.5*70/200</s:f>
        <s:v>4.9000000000000004</s:v>
      </s:c>
    </s:row>
    <s:row r="269">
      <s:c r="A269" t="s">
        <s:v>408</s:v>
      </s:c>
      <s:c r="B269" t="s">
        <s:v>553</s:v>
      </s:c>
      <s:c r="C269" t="s">
        <s:v>554</s:v>
      </s:c>
      <s:c r="D269">
        <s:v>5</s:v>
      </s:c>
      <s:c r="E269">
        <s:f>D269*3.5*70/200</s:f>
        <s:v>6.125</s:v>
      </s:c>
    </s:row>
    <s:row r="270">
      <s:c r="A270" t="s">
        <s:v>408</s:v>
      </s:c>
      <s:c r="B270" t="s">
        <s:v>555</s:v>
      </s:c>
      <s:c r="C270" t="s">
        <s:v>556</s:v>
      </s:c>
      <s:c r="D270">
        <s:v>3.5</s:v>
      </s:c>
      <s:c r="E270">
        <s:f>D270*3.5*70/200</s:f>
        <s:v>4.2874999999999996</s:v>
      </s:c>
    </s:row>
    <s:row r="271">
      <s:c r="A271" t="s">
        <s:v>408</s:v>
      </s:c>
      <s:c r="B271" t="s">
        <s:v>557</s:v>
      </s:c>
      <s:c r="C271" t="s">
        <s:v>558</s:v>
      </s:c>
      <s:c r="D271">
        <s:v>2.2999999999999998</s:v>
      </s:c>
      <s:c r="E271">
        <s:f>D271*3.5*70/200</s:f>
        <s:v>2.8174999999999994</s:v>
      </s:c>
    </s:row>
    <s:row r="272">
      <s:c r="A272" t="s">
        <s:v>408</s:v>
      </s:c>
      <s:c r="B272" t="s">
        <s:v>559</s:v>
      </s:c>
      <s:c r="C272" t="s">
        <s:v>560</s:v>
      </s:c>
      <s:c r="D272">
        <s:v>3</s:v>
      </s:c>
      <s:c r="E272">
        <s:f>D272*3.5*70/200</s:f>
        <s:v>3.6749999999999998</s:v>
      </s:c>
    </s:row>
    <s:row r="273">
      <s:c r="A273" t="s">
        <s:v>408</s:v>
      </s:c>
      <s:c r="B273" t="s">
        <s:v>561</s:v>
      </s:c>
      <s:c r="C273" t="s">
        <s:v>562</s:v>
      </s:c>
      <s:c r="D273">
        <s:v>1.8</s:v>
      </s:c>
      <s:c r="E273">
        <s:f>D273*3.5*70/200</s:f>
        <s:v>2.2050000000000001</s:v>
      </s:c>
    </s:row>
    <s:row r="274">
      <s:c r="A274" t="s">
        <s:v>408</s:v>
      </s:c>
      <s:c r="B274" t="s">
        <s:v>563</s:v>
      </s:c>
      <s:c r="C274" t="s">
        <s:v>564</s:v>
      </s:c>
      <s:c r="D274">
        <s:v>1.3</s:v>
      </s:c>
      <s:c r="E274">
        <s:f>D274*3.5*70/200</s:f>
        <s:v>1.5925</s:v>
      </s:c>
    </s:row>
    <s:row r="275">
      <s:c r="A275" t="s">
        <s:v>565</s:v>
      </s:c>
      <s:c r="B275" t="s">
        <s:v>566</s:v>
      </s:c>
      <s:c r="C275" t="s">
        <s:v>567</s:v>
      </s:c>
      <s:c r="D275">
        <s:v>3</s:v>
      </s:c>
      <s:c r="E275">
        <s:f>D275*3.5*70/200</s:f>
        <s:v>3.6749999999999998</s:v>
      </s:c>
    </s:row>
    <s:row r="276">
      <s:c r="A276" t="s">
        <s:v>565</s:v>
      </s:c>
      <s:c r="B276" t="s">
        <s:v>568</s:v>
      </s:c>
      <s:c r="C276" t="s">
        <s:v>569</s:v>
      </s:c>
      <s:c r="D276">
        <s:v>4</s:v>
      </s:c>
      <s:c r="E276">
        <s:f>D276*3.5*70/200</s:f>
        <s:v>4.9000000000000004</s:v>
      </s:c>
    </s:row>
    <s:row r="277">
      <s:c r="A277" t="s">
        <s:v>565</s:v>
      </s:c>
      <s:c r="B277" t="s">
        <s:v>570</s:v>
      </s:c>
      <s:c r="C277" t="s">
        <s:v>571</s:v>
      </s:c>
      <s:c r="D277">
        <s:v>3.3</s:v>
      </s:c>
      <s:c r="E277">
        <s:f>D277*3.5*70/200</s:f>
        <s:v>4.0424999999999995</s:v>
      </s:c>
    </s:row>
    <s:row r="278">
      <s:c r="A278" t="s">
        <s:v>565</s:v>
      </s:c>
      <s:c r="B278" t="s">
        <s:v>572</s:v>
      </s:c>
      <s:c r="C278" t="s">
        <s:v>573</s:v>
      </s:c>
      <s:c r="D278">
        <s:v>3</s:v>
      </s:c>
      <s:c r="E278">
        <s:f>D278*3.5*70/200</s:f>
        <s:v>3.6749999999999998</s:v>
      </s:c>
    </s:row>
    <s:row r="279">
      <s:c r="A279" t="s">
        <s:v>565</s:v>
      </s:c>
      <s:c r="B279" t="s">
        <s:v>574</s:v>
      </s:c>
      <s:c r="C279" t="s">
        <s:v>575</s:v>
      </s:c>
      <s:c r="D279">
        <s:v>6</s:v>
      </s:c>
      <s:c r="E279">
        <s:f>D279*3.5*70/200</s:f>
        <s:v>7.35</s:v>
      </s:c>
    </s:row>
    <s:row r="280">
      <s:c r="A280" t="s">
        <s:v>565</s:v>
      </s:c>
      <s:c r="B280" t="s">
        <s:v>576</s:v>
      </s:c>
      <s:c r="C280" t="s">
        <s:v>577</s:v>
      </s:c>
      <s:c r="D280">
        <s:v>3.8</s:v>
      </s:c>
      <s:c r="E280">
        <s:f>D280*3.5*70/200</s:f>
        <s:v>4.6549999999999994</s:v>
      </s:c>
    </s:row>
    <s:row r="281">
      <s:c r="A281" t="s">
        <s:v>565</s:v>
      </s:c>
      <s:c r="B281" t="s">
        <s:v>578</s:v>
      </s:c>
      <s:c r="C281" t="s">
        <s:v>579</s:v>
      </s:c>
      <s:c r="D281">
        <s:v>3.3</s:v>
      </s:c>
      <s:c r="E281">
        <s:f>D281*3.5*70/200</s:f>
        <s:v>4.0424999999999995</s:v>
      </s:c>
    </s:row>
    <s:row r="282">
      <s:c r="A282" t="s">
        <s:v>565</s:v>
      </s:c>
      <s:c r="B282" t="s">
        <s:v>580</s:v>
      </s:c>
      <s:c r="C282" t="s">
        <s:v>581</s:v>
      </s:c>
      <s:c r="D282">
        <s:v>6</s:v>
      </s:c>
      <s:c r="E282">
        <s:f>D282*3.5*70/200</s:f>
        <s:v>7.35</s:v>
      </s:c>
    </s:row>
    <s:row r="283">
      <s:c r="A283" t="s">
        <s:v>565</s:v>
      </s:c>
      <s:c r="B283" t="s">
        <s:v>582</s:v>
      </s:c>
      <s:c r="C283" t="s">
        <s:v>583</s:v>
      </s:c>
      <s:c r="D283">
        <s:v>4</s:v>
      </s:c>
      <s:c r="E283">
        <s:f>D283*3.5*70/200</s:f>
        <s:v>4.9000000000000004</s:v>
      </s:c>
    </s:row>
    <s:row r="284">
      <s:c r="A284" t="s">
        <s:v>565</s:v>
      </s:c>
      <s:c r="B284" t="s">
        <s:v>584</s:v>
      </s:c>
      <s:c r="C284" t="s">
        <s:v>585</s:v>
      </s:c>
      <s:c r="D284">
        <s:v>2.2999999999999998</s:v>
      </s:c>
      <s:c r="E284">
        <s:f>D284*3.5*70/200</s:f>
        <s:v>2.8174999999999994</s:v>
      </s:c>
    </s:row>
    <s:row r="285">
      <s:c r="A285" t="s">
        <s:v>565</s:v>
      </s:c>
      <s:c r="B285" t="s">
        <s:v>586</s:v>
      </s:c>
      <s:c r="C285" t="s">
        <s:v>587</s:v>
      </s:c>
      <s:c r="D285">
        <s:v>5</s:v>
      </s:c>
      <s:c r="E285">
        <s:f>D285*3.5*70/200</s:f>
        <s:v>6.125</s:v>
      </s:c>
    </s:row>
    <s:row r="286">
      <s:c r="A286" t="s">
        <s:v>565</s:v>
      </s:c>
      <s:c r="B286" t="s">
        <s:v>588</s:v>
      </s:c>
      <s:c r="C286" t="s">
        <s:v>589</s:v>
      </s:c>
      <s:c r="D286">
        <s:v>4.5</s:v>
      </s:c>
      <s:c r="E286">
        <s:f>D286*3.5*70/200</s:f>
        <s:v>5.5125000000000002</s:v>
      </s:c>
    </s:row>
    <s:row r="287">
      <s:c r="A287" t="s">
        <s:v>565</s:v>
      </s:c>
      <s:c r="B287" t="s">
        <s:v>590</s:v>
      </s:c>
      <s:c r="C287" t="s">
        <s:v>591</s:v>
      </s:c>
      <s:c r="D287">
        <s:v>5</s:v>
      </s:c>
      <s:c r="E287">
        <s:f>D287*3.5*70/200</s:f>
        <s:v>6.125</s:v>
      </s:c>
    </s:row>
    <s:row r="288">
      <s:c r="A288" t="s">
        <s:v>565</s:v>
      </s:c>
      <s:c r="B288" t="s">
        <s:v>592</s:v>
      </s:c>
      <s:c r="C288" t="s">
        <s:v>593</s:v>
      </s:c>
      <s:c r="D288">
        <s:v>5</s:v>
      </s:c>
      <s:c r="E288">
        <s:f>D288*3.5*70/200</s:f>
        <s:v>6.125</s:v>
      </s:c>
    </s:row>
    <s:row r="289">
      <s:c r="A289" t="s">
        <s:v>565</s:v>
      </s:c>
      <s:c r="B289" t="s">
        <s:v>594</s:v>
      </s:c>
      <s:c r="C289" t="s">
        <s:v>595</s:v>
      </s:c>
      <s:c r="D289">
        <s:v>5</s:v>
      </s:c>
      <s:c r="E289">
        <s:f>D289*3.5*70/200</s:f>
        <s:v>6.125</s:v>
      </s:c>
    </s:row>
    <s:row r="290">
      <s:c r="A290" t="s">
        <s:v>565</s:v>
      </s:c>
      <s:c r="B290" t="s">
        <s:v>596</s:v>
      </s:c>
      <s:c r="C290" t="s">
        <s:v>597</s:v>
      </s:c>
      <s:c r="D290">
        <s:v>5</s:v>
      </s:c>
      <s:c r="E290">
        <s:f>D290*3.5*70/200</s:f>
        <s:v>6.125</s:v>
      </s:c>
    </s:row>
    <s:row r="291">
      <s:c r="A291" t="s">
        <s:v>565</s:v>
      </s:c>
      <s:c r="B291" t="s">
        <s:v>598</s:v>
      </s:c>
      <s:c r="C291" t="s">
        <s:v>599</s:v>
      </s:c>
      <s:c r="D291">
        <s:v>3</s:v>
      </s:c>
      <s:c r="E291">
        <s:f>D291*3.5*70/200</s:f>
        <s:v>3.6749999999999998</s:v>
      </s:c>
    </s:row>
    <s:row r="292">
      <s:c r="A292" t="s">
        <s:v>565</s:v>
      </s:c>
      <s:c r="B292" t="s">
        <s:v>600</s:v>
      </s:c>
      <s:c r="C292" t="s">
        <s:v>601</s:v>
      </s:c>
      <s:c r="D292">
        <s:v>2.5</s:v>
      </s:c>
      <s:c r="E292">
        <s:f>D292*3.5*70/200</s:f>
        <s:v>3.0625</s:v>
      </s:c>
    </s:row>
    <s:row r="293">
      <s:c r="A293" t="s">
        <s:v>565</s:v>
      </s:c>
      <s:c r="B293" t="s">
        <s:v>602</s:v>
      </s:c>
      <s:c r="C293" t="s">
        <s:v>603</s:v>
      </s:c>
      <s:c r="D293">
        <s:v>4.5</s:v>
      </s:c>
      <s:c r="E293">
        <s:f>D293*3.5*70/200</s:f>
        <s:v>5.5125000000000002</s:v>
      </s:c>
    </s:row>
    <s:row r="294">
      <s:c r="A294" t="s">
        <s:v>565</s:v>
      </s:c>
      <s:c r="B294" t="s">
        <s:v>604</s:v>
      </s:c>
      <s:c r="C294" t="s">
        <s:v>605</s:v>
      </s:c>
      <s:c r="D294">
        <s:v>6</s:v>
      </s:c>
      <s:c r="E294">
        <s:f>D294*3.5*70/200</s:f>
        <s:v>7.35</s:v>
      </s:c>
    </s:row>
    <s:row r="295">
      <s:c r="A295" t="s">
        <s:v>565</s:v>
      </s:c>
      <s:c r="B295" t="s">
        <s:v>606</s:v>
      </s:c>
      <s:c r="C295" t="s">
        <s:v>607</s:v>
      </s:c>
      <s:c r="D295">
        <s:v>4.5</s:v>
      </s:c>
      <s:c r="E295">
        <s:f>D295*3.5*70/200</s:f>
        <s:v>5.5125000000000002</s:v>
      </s:c>
    </s:row>
    <s:row r="296">
      <s:c r="A296" t="s">
        <s:v>565</s:v>
      </s:c>
      <s:c r="B296" t="s">
        <s:v>608</s:v>
      </s:c>
      <s:c r="C296" t="s">
        <s:v>609</s:v>
      </s:c>
      <s:c r="D296">
        <s:v>3.8</s:v>
      </s:c>
      <s:c r="E296">
        <s:f>D296*3.5*70/200</s:f>
        <s:v>4.6549999999999994</s:v>
      </s:c>
    </s:row>
    <s:row r="297">
      <s:c r="A297" t="s">
        <s:v>565</s:v>
      </s:c>
      <s:c r="B297" t="s">
        <s:v>610</s:v>
      </s:c>
      <s:c r="C297" t="s">
        <s:v>611</s:v>
      </s:c>
      <s:c r="D297">
        <s:v>3</s:v>
      </s:c>
      <s:c r="E297">
        <s:f>D297*3.5*70/200</s:f>
        <s:v>3.6749999999999998</s:v>
      </s:c>
    </s:row>
    <s:row r="298">
      <s:c r="A298" t="s">
        <s:v>565</s:v>
      </s:c>
      <s:c r="B298" t="s">
        <s:v>612</s:v>
      </s:c>
      <s:c r="C298" t="s">
        <s:v>613</s:v>
      </s:c>
      <s:c r="D298">
        <s:v>5</s:v>
      </s:c>
      <s:c r="E298">
        <s:f>D298*3.5*70/200</s:f>
        <s:v>6.125</s:v>
      </s:c>
    </s:row>
    <s:row r="299">
      <s:c r="A299" t="s">
        <s:v>565</s:v>
      </s:c>
      <s:c r="B299" t="s">
        <s:v>614</s:v>
      </s:c>
      <s:c r="C299" t="s">
        <s:v>615</s:v>
      </s:c>
      <s:c r="D299">
        <s:v>3.3</s:v>
      </s:c>
      <s:c r="E299">
        <s:f>D299*3.5*70/200</s:f>
        <s:v>4.0424999999999995</s:v>
      </s:c>
    </s:row>
    <s:row r="300">
      <s:c r="A300" t="s">
        <s:v>565</s:v>
      </s:c>
      <s:c r="B300" t="s">
        <s:v>616</s:v>
      </s:c>
      <s:c r="C300" t="s">
        <s:v>617</s:v>
      </s:c>
      <s:c r="D300">
        <s:v>4.5</s:v>
      </s:c>
      <s:c r="E300">
        <s:f>D300*3.5*70/200</s:f>
        <s:v>5.5125000000000002</s:v>
      </s:c>
    </s:row>
    <s:row r="301">
      <s:c r="A301" t="s">
        <s:v>565</s:v>
      </s:c>
      <s:c r="B301" t="s">
        <s:v>618</s:v>
      </s:c>
      <s:c r="C301" t="s">
        <s:v>619</s:v>
      </s:c>
      <s:c r="D301">
        <s:v>3</s:v>
      </s:c>
      <s:c r="E301">
        <s:f>D301*3.5*70/200</s:f>
        <s:v>3.6749999999999998</s:v>
      </s:c>
    </s:row>
    <s:row r="302">
      <s:c r="A302" t="s">
        <s:v>565</s:v>
      </s:c>
      <s:c r="B302" t="s">
        <s:v>620</s:v>
      </s:c>
      <s:c r="C302" t="s">
        <s:v>621</s:v>
      </s:c>
      <s:c r="D302">
        <s:v>3</s:v>
      </s:c>
      <s:c r="E302">
        <s:f>D302*3.5*70/200</s:f>
        <s:v>3.6749999999999998</s:v>
      </s:c>
    </s:row>
    <s:row r="303">
      <s:c r="A303" t="s">
        <s:v>565</s:v>
      </s:c>
      <s:c r="B303" t="s">
        <s:v>622</s:v>
      </s:c>
      <s:c r="C303" t="s">
        <s:v>623</s:v>
      </s:c>
      <s:c r="D303">
        <s:v>6</s:v>
      </s:c>
      <s:c r="E303">
        <s:f>D303*3.5*70/200</s:f>
        <s:v>7.35</s:v>
      </s:c>
    </s:row>
    <s:row r="304">
      <s:c r="A304" t="s">
        <s:v>565</s:v>
      </s:c>
      <s:c r="B304" t="s">
        <s:v>624</s:v>
      </s:c>
      <s:c r="C304" t="s">
        <s:v>625</s:v>
      </s:c>
      <s:c r="D304">
        <s:v>4.5</s:v>
      </s:c>
      <s:c r="E304">
        <s:f>D304*3.5*70/200</s:f>
        <s:v>5.5125000000000002</s:v>
      </s:c>
    </s:row>
    <s:row r="305">
      <s:c r="A305" t="s">
        <s:v>565</s:v>
      </s:c>
      <s:c r="B305" t="s">
        <s:v>626</s:v>
      </s:c>
      <s:c r="C305" t="s">
        <s:v>627</s:v>
      </s:c>
      <s:c r="D305">
        <s:v>4.5</s:v>
      </s:c>
      <s:c r="E305">
        <s:f>D305*3.5*70/200</s:f>
        <s:v>5.5125000000000002</s:v>
      </s:c>
    </s:row>
    <s:row r="306">
      <s:c r="A306" t="s">
        <s:v>565</s:v>
      </s:c>
      <s:c r="B306" t="s">
        <s:v>628</s:v>
      </s:c>
      <s:c r="C306" t="s">
        <s:v>629</s:v>
      </s:c>
      <s:c r="D306">
        <s:v>2</s:v>
      </s:c>
      <s:c r="E306">
        <s:f>D306*3.5*70/200</s:f>
        <s:v>2.4500000000000002</s:v>
      </s:c>
    </s:row>
    <s:row r="307">
      <s:c r="A307" t="s">
        <s:v>565</s:v>
      </s:c>
      <s:c r="B307" t="s">
        <s:v>630</s:v>
      </s:c>
      <s:c r="C307" t="s">
        <s:v>631</s:v>
      </s:c>
      <s:c r="D307">
        <s:v>5</s:v>
      </s:c>
      <s:c r="E307">
        <s:f>D307*3.5*70/200</s:f>
        <s:v>6.125</s:v>
      </s:c>
    </s:row>
    <s:row r="308">
      <s:c r="A308" t="s">
        <s:v>565</s:v>
      </s:c>
      <s:c r="B308" t="s">
        <s:v>632</s:v>
      </s:c>
      <s:c r="C308" t="s">
        <s:v>633</s:v>
      </s:c>
      <s:c r="D308">
        <s:v>4.5</s:v>
      </s:c>
      <s:c r="E308">
        <s:f>D308*3.5*70/200</s:f>
        <s:v>5.5125000000000002</s:v>
      </s:c>
    </s:row>
    <s:row r="309">
      <s:c r="A309" t="s">
        <s:v>565</s:v>
      </s:c>
      <s:c r="B309" t="s">
        <s:v>634</s:v>
      </s:c>
      <s:c r="C309" t="s">
        <s:v>635</s:v>
      </s:c>
      <s:c r="D309">
        <s:v>2</s:v>
      </s:c>
      <s:c r="E309">
        <s:f>D309*3.5*70/200</s:f>
        <s:v>2.4500000000000002</s:v>
      </s:c>
    </s:row>
    <s:row r="310">
      <s:c r="A310" t="s">
        <s:v>565</s:v>
      </s:c>
      <s:c r="B310" t="s">
        <s:v>636</s:v>
      </s:c>
      <s:c r="C310" t="s">
        <s:v>637</s:v>
      </s:c>
      <s:c r="D310">
        <s:v>4.5</s:v>
      </s:c>
      <s:c r="E310">
        <s:f>D310*3.5*70/200</s:f>
        <s:v>5.5125000000000002</s:v>
      </s:c>
    </s:row>
    <s:row r="311">
      <s:c r="A311" t="s">
        <s:v>565</s:v>
      </s:c>
      <s:c r="B311" t="s">
        <s:v>638</s:v>
      </s:c>
      <s:c r="C311" t="s">
        <s:v>639</s:v>
      </s:c>
      <s:c r="D311">
        <s:v>3.3</s:v>
      </s:c>
      <s:c r="E311">
        <s:f>D311*3.5*70/200</s:f>
        <s:v>4.0424999999999995</s:v>
      </s:c>
    </s:row>
    <s:row r="312">
      <s:c r="A312" t="s">
        <s:v>640</s:v>
      </s:c>
      <s:c r="B312" t="s">
        <s:v>641</s:v>
      </s:c>
      <s:c r="C312" t="s">
        <s:v>642</s:v>
      </s:c>
      <s:c r="D312">
        <s:v>1</s:v>
      </s:c>
      <s:c r="E312">
        <s:f>D312*3.5*70/200</s:f>
        <s:v>1.2250000000000001</s:v>
      </s:c>
    </s:row>
    <s:row r="313">
      <s:c r="A313" t="s">
        <s:v>640</s:v>
      </s:c>
      <s:c r="B313" t="s">
        <s:v>643</s:v>
      </s:c>
      <s:c r="C313" t="s">
        <s:v>644</s:v>
      </s:c>
      <s:c r="D313">
        <s:v>1</s:v>
      </s:c>
      <s:c r="E313">
        <s:f>D313*3.5*70/200</s:f>
        <s:v>1.2250000000000001</s:v>
      </s:c>
    </s:row>
    <s:row r="314">
      <s:c r="A314" t="s">
        <s:v>640</s:v>
      </s:c>
      <s:c r="B314" t="s">
        <s:v>645</s:v>
      </s:c>
      <s:c r="C314" t="s">
        <s:v>646</s:v>
      </s:c>
      <s:c r="D314">
        <s:v>1</s:v>
      </s:c>
      <s:c r="E314">
        <s:f>D314*3.5*70/200</s:f>
        <s:v>1.2250000000000001</s:v>
      </s:c>
    </s:row>
    <s:row r="315">
      <s:c r="A315" t="s">
        <s:v>640</s:v>
      </s:c>
      <s:c r="B315" t="s">
        <s:v>647</s:v>
      </s:c>
      <s:c r="C315" t="s">
        <s:v>648</s:v>
      </s:c>
      <s:c r="D315">
        <s:v>1</s:v>
      </s:c>
      <s:c r="E315">
        <s:f>D315*3.5*70/200</s:f>
        <s:v>1.2250000000000001</s:v>
      </s:c>
    </s:row>
    <s:row r="316">
      <s:c r="A316" t="s">
        <s:v>640</s:v>
      </s:c>
      <s:c r="B316" t="s">
        <s:v>649</s:v>
      </s:c>
      <s:c r="C316" t="s">
        <s:v>650</s:v>
      </s:c>
      <s:c r="D316">
        <s:v>1.5</s:v>
      </s:c>
      <s:c r="E316">
        <s:f>D316*3.5*70/200</s:f>
        <s:v>1.8374999999999999</s:v>
      </s:c>
    </s:row>
    <s:row r="317">
      <s:c r="A317" t="s">
        <s:v>640</s:v>
      </s:c>
      <s:c r="B317" t="s">
        <s:v>651</s:v>
      </s:c>
      <s:c r="C317" t="s">
        <s:v>652</s:v>
      </s:c>
      <s:c r="D317">
        <s:v>1.8</s:v>
      </s:c>
      <s:c r="E317">
        <s:f>D317*3.5*70/200</s:f>
        <s:v>2.2050000000000001</s:v>
      </s:c>
    </s:row>
    <s:row r="318">
      <s:c r="A318" t="s">
        <s:v>640</s:v>
      </s:c>
      <s:c r="B318" t="s">
        <s:v>653</s:v>
      </s:c>
      <s:c r="C318" t="s">
        <s:v>654</s:v>
      </s:c>
      <s:c r="D318">
        <s:v>1.3</s:v>
      </s:c>
      <s:c r="E318">
        <s:f>D318*3.5*70/200</s:f>
        <s:v>1.5925</s:v>
      </s:c>
    </s:row>
    <s:row r="319">
      <s:c r="A319" t="s">
        <s:v>640</s:v>
      </s:c>
      <s:c r="B319" t="s">
        <s:v>655</s:v>
      </s:c>
      <s:c r="C319" t="s">
        <s:v>656</s:v>
      </s:c>
      <s:c r="D319">
        <s:v>1.5</s:v>
      </s:c>
      <s:c r="E319">
        <s:f>D319*3.5*70/200</s:f>
        <s:v>1.8374999999999999</s:v>
      </s:c>
    </s:row>
    <s:row r="320">
      <s:c r="A320" t="s">
        <s:v>640</s:v>
      </s:c>
      <s:c r="B320" t="s">
        <s:v>657</s:v>
      </s:c>
      <s:c r="C320" t="s">
        <s:v>658</s:v>
      </s:c>
      <s:c r="D320">
        <s:v>1.3</s:v>
      </s:c>
      <s:c r="E320">
        <s:f>D320*3.5*70/200</s:f>
        <s:v>1.5925</s:v>
      </s:c>
    </s:row>
    <s:row r="321">
      <s:c r="A321" t="s">
        <s:v>640</s:v>
      </s:c>
      <s:c r="B321" t="s">
        <s:v>659</s:v>
      </s:c>
      <s:c r="C321" t="s">
        <s:v>660</s:v>
      </s:c>
      <s:c r="D321">
        <s:v>1</s:v>
      </s:c>
      <s:c r="E321">
        <s:f>D321*3.5*70/200</s:f>
        <s:v>1.2250000000000001</s:v>
      </s:c>
    </s:row>
    <s:row r="322">
      <s:c r="A322" t="s">
        <s:v>640</s:v>
      </s:c>
      <s:c r="B322" t="s">
        <s:v>661</s:v>
      </s:c>
      <s:c r="C322" t="s">
        <s:v>662</s:v>
      </s:c>
      <s:c r="D322">
        <s:v>1.3</s:v>
      </s:c>
      <s:c r="E322">
        <s:f>D322*3.5*70/200</s:f>
        <s:v>1.5925</s:v>
      </s:c>
    </s:row>
    <s:row r="323">
      <s:c r="A323" t="s">
        <s:v>640</s:v>
      </s:c>
      <s:c r="B323" t="s">
        <s:v>663</s:v>
      </s:c>
      <s:c r="C323" t="s">
        <s:v>664</s:v>
      </s:c>
      <s:c r="D323">
        <s:v>1.5</s:v>
      </s:c>
      <s:c r="E323">
        <s:f>D323*3.5*70/200</s:f>
        <s:v>1.8374999999999999</s:v>
      </s:c>
    </s:row>
    <s:row r="324">
      <s:c r="A324" t="s">
        <s:v>640</s:v>
      </s:c>
      <s:c r="B324" t="s">
        <s:v>665</s:v>
      </s:c>
      <s:c r="C324" t="s">
        <s:v>666</s:v>
      </s:c>
      <s:c r="D324">
        <s:v>1.3</s:v>
      </s:c>
      <s:c r="E324">
        <s:f>D324*3.5*70/200</s:f>
        <s:v>1.5925</s:v>
      </s:c>
    </s:row>
    <s:row r="325">
      <s:c r="A325" t="s">
        <s:v>640</s:v>
      </s:c>
      <s:c r="B325" t="s">
        <s:v>667</s:v>
      </s:c>
      <s:c r="C325" t="s">
        <s:v>668</s:v>
      </s:c>
      <s:c r="D325">
        <s:v>1.5</s:v>
      </s:c>
      <s:c r="E325">
        <s:f>D325*3.5*70/200</s:f>
        <s:v>1.8374999999999999</s:v>
      </s:c>
    </s:row>
    <s:row r="326">
      <s:c r="A326" t="s">
        <s:v>640</s:v>
      </s:c>
      <s:c r="B326" t="s">
        <s:v>669</s:v>
      </s:c>
      <s:c r="C326" t="s">
        <s:v>670</s:v>
      </s:c>
      <s:c r="D326">
        <s:v>1.3</s:v>
      </s:c>
      <s:c r="E326">
        <s:f>D326*3.5*70/200</s:f>
        <s:v>1.5925</s:v>
      </s:c>
    </s:row>
    <s:row r="327">
      <s:c r="A327" t="s">
        <s:v>640</s:v>
      </s:c>
      <s:c r="B327" t="s">
        <s:v>671</s:v>
      </s:c>
      <s:c r="C327" t="s">
        <s:v>672</s:v>
      </s:c>
      <s:c r="D327">
        <s:v>1.3</s:v>
      </s:c>
      <s:c r="E327">
        <s:f>D327*3.5*70/200</s:f>
        <s:v>1.5925</s:v>
      </s:c>
    </s:row>
    <s:row r="328">
      <s:c r="A328" t="s">
        <s:v>640</s:v>
      </s:c>
      <s:c r="B328" t="s">
        <s:v>673</s:v>
      </s:c>
      <s:c r="C328" t="s">
        <s:v>674</s:v>
      </s:c>
      <s:c r="D328">
        <s:v>1</s:v>
      </s:c>
      <s:c r="E328">
        <s:f>D328*3.5*70/200</s:f>
        <s:v>1.2250000000000001</s:v>
      </s:c>
    </s:row>
    <s:row r="329">
      <s:c r="A329" t="s">
        <s:v>675</s:v>
      </s:c>
      <s:c r="B329" t="s">
        <s:v>676</s:v>
      </s:c>
      <s:c r="C329" t="s">
        <s:v>677</s:v>
      </s:c>
      <s:c r="D329">
        <s:v>4.0999999999999996</s:v>
      </s:c>
      <s:c r="E329">
        <s:f>D329*3.5*70/200</s:f>
        <s:v>5.0224999999999991</s:v>
      </s:c>
    </s:row>
    <s:row r="330">
      <s:c r="A330" t="s">
        <s:v>675</s:v>
      </s:c>
      <s:c r="B330" t="s">
        <s:v>678</s:v>
      </s:c>
      <s:c r="C330" t="s">
        <s:v>679</s:v>
      </s:c>
      <s:c r="D330">
        <s:v>5.5</s:v>
      </s:c>
      <s:c r="E330">
        <s:f>D330*3.5*70/200</s:f>
        <s:v>6.7374999999999998</s:v>
      </s:c>
    </s:row>
    <s:row r="331">
      <s:c r="A331" t="s">
        <s:v>675</s:v>
      </s:c>
      <s:c r="B331" t="s">
        <s:v>680</s:v>
      </s:c>
      <s:c r="C331" t="s">
        <s:v>681</s:v>
      </s:c>
      <s:c r="D331">
        <s:v>4.5</s:v>
      </s:c>
      <s:c r="E331">
        <s:f>D331*3.5*70/200</s:f>
        <s:v>5.5125000000000002</s:v>
      </s:c>
    </s:row>
    <s:row r="332">
      <s:c r="A332" t="s">
        <s:v>675</s:v>
      </s:c>
      <s:c r="B332" t="s">
        <s:v>682</s:v>
      </s:c>
      <s:c r="C332" t="s">
        <s:v>683</s:v>
      </s:c>
      <s:c r="D332">
        <s:v>6.5</s:v>
      </s:c>
      <s:c r="E332">
        <s:f>D332*3.5*70/200</s:f>
        <s:v>7.9625000000000004</s:v>
      </s:c>
    </s:row>
    <s:row r="333">
      <s:c r="A333" t="s">
        <s:v>675</s:v>
      </s:c>
      <s:c r="B333" t="s">
        <s:v>684</s:v>
      </s:c>
      <s:c r="C333" t="s">
        <s:v>685</s:v>
      </s:c>
      <s:c r="D333">
        <s:v>3.5</s:v>
      </s:c>
      <s:c r="E333">
        <s:f>D333*3.5*70/200</s:f>
        <s:v>4.2874999999999996</s:v>
      </s:c>
    </s:row>
    <s:row r="334">
      <s:c r="A334" t="s">
        <s:v>675</s:v>
      </s:c>
      <s:c r="B334" t="s">
        <s:v>686</s:v>
      </s:c>
      <s:c r="C334" t="s">
        <s:v>687</s:v>
      </s:c>
      <s:c r="D334">
        <s:v>6.3</s:v>
      </s:c>
      <s:c r="E334">
        <s:f>D334*3.5*70/200</s:f>
        <s:v>7.7175000000000002</s:v>
      </s:c>
    </s:row>
    <s:row r="335">
      <s:c r="A335" t="s">
        <s:v>675</s:v>
      </s:c>
      <s:c r="B335" t="s">
        <s:v>688</s:v>
      </s:c>
      <s:c r="C335" t="s">
        <s:v>689</s:v>
      </s:c>
      <s:c r="D335">
        <s:v>5</s:v>
      </s:c>
      <s:c r="E335">
        <s:f>D335*3.5*70/200</s:f>
        <s:v>6.125</s:v>
      </s:c>
    </s:row>
    <s:row r="336">
      <s:c r="A336" t="s">
        <s:v>675</s:v>
      </s:c>
      <s:c r="B336" t="s">
        <s:v>690</s:v>
      </s:c>
      <s:c r="C336" t="s">
        <s:v>691</s:v>
      </s:c>
      <s:c r="D336">
        <s:v>3.5</s:v>
      </s:c>
      <s:c r="E336">
        <s:f>D336*3.5*70/200</s:f>
        <s:v>4.2874999999999996</s:v>
      </s:c>
    </s:row>
    <s:row r="337">
      <s:c r="A337" t="s">
        <s:v>675</s:v>
      </s:c>
      <s:c r="B337" t="s">
        <s:v>692</s:v>
      </s:c>
      <s:c r="C337" t="s">
        <s:v>693</s:v>
      </s:c>
      <s:c r="D337">
        <s:v>5</s:v>
      </s:c>
      <s:c r="E337">
        <s:f>D337*3.5*70/200</s:f>
        <s:v>6.125</s:v>
      </s:c>
    </s:row>
    <s:row r="338">
      <s:c r="A338" t="s">
        <s:v>675</s:v>
      </s:c>
      <s:c r="B338" t="s">
        <s:v>694</s:v>
      </s:c>
      <s:c r="C338" t="s">
        <s:v>695</s:v>
      </s:c>
      <s:c r="D338">
        <s:v>7.3</s:v>
      </s:c>
      <s:c r="E338">
        <s:f>D338*3.5*70/200</s:f>
        <s:v>8.9425000000000008</s:v>
      </s:c>
    </s:row>
    <s:row r="339">
      <s:c r="A339" t="s">
        <s:v>675</s:v>
      </s:c>
      <s:c r="B339" t="s">
        <s:v>696</s:v>
      </s:c>
      <s:c r="C339" t="s">
        <s:v>697</s:v>
      </s:c>
      <s:c r="D339">
        <s:v>2.8</s:v>
      </s:c>
      <s:c r="E339">
        <s:f>D339*3.5*70/200</s:f>
        <s:v>3.4299999999999993</s:v>
      </s:c>
    </s:row>
    <s:row r="340">
      <s:c r="A340" t="s">
        <s:v>675</s:v>
      </s:c>
      <s:c r="B340" t="s">
        <s:v>698</s:v>
      </s:c>
      <s:c r="C340" t="s">
        <s:v>699</s:v>
      </s:c>
      <s:c r="D340">
        <s:v>8.3000000000000007</s:v>
      </s:c>
      <s:c r="E340">
        <s:f>D340*3.5*70/200</s:f>
        <s:v>10.1675</s:v>
      </s:c>
    </s:row>
    <s:row r="341">
      <s:c r="A341" t="s">
        <s:v>675</s:v>
      </s:c>
      <s:c r="B341" t="s">
        <s:v>700</s:v>
      </s:c>
      <s:c r="C341" t="s">
        <s:v>701</s:v>
      </s:c>
      <s:c r="D341">
        <s:v>5.3</s:v>
      </s:c>
      <s:c r="E341">
        <s:f>D341*3.5*70/200</s:f>
        <s:v>6.4924999999999997</s:v>
      </s:c>
    </s:row>
    <s:row r="342">
      <s:c r="A342" t="s">
        <s:v>675</s:v>
      </s:c>
      <s:c r="B342" t="s">
        <s:v>702</s:v>
      </s:c>
      <s:c r="C342" t="s">
        <s:v>703</s:v>
      </s:c>
      <s:c r="D342">
        <s:v>5.8</s:v>
      </s:c>
      <s:c r="E342">
        <s:f>D342*3.5*70/200</s:f>
        <s:v>7.1050000000000004</s:v>
      </s:c>
    </s:row>
    <s:row r="343">
      <s:c r="A343" t="s">
        <s:v>675</s:v>
      </s:c>
      <s:c r="B343" t="s">
        <s:v>704</s:v>
      </s:c>
      <s:c r="C343" t="s">
        <s:v>705</s:v>
      </s:c>
      <s:c r="D343">
        <s:v>2</s:v>
      </s:c>
      <s:c r="E343">
        <s:f>D343*3.5*70/200</s:f>
        <s:v>2.4500000000000002</s:v>
      </s:c>
    </s:row>
    <s:row r="344">
      <s:c r="A344" t="s">
        <s:v>675</s:v>
      </s:c>
      <s:c r="B344" t="s">
        <s:v>706</s:v>
      </s:c>
      <s:c r="C344" t="s">
        <s:v>707</s:v>
      </s:c>
      <s:c r="D344">
        <s:v>4</s:v>
      </s:c>
      <s:c r="E344">
        <s:f>D344*3.5*70/200</s:f>
        <s:v>4.9000000000000004</s:v>
      </s:c>
    </s:row>
    <s:row r="345">
      <s:c r="A345" t="s">
        <s:v>675</s:v>
      </s:c>
      <s:c r="B345" t="s">
        <s:v>708</s:v>
      </s:c>
      <s:c r="C345" t="s">
        <s:v>709</s:v>
      </s:c>
      <s:c r="D345">
        <s:v>6.3</s:v>
      </s:c>
      <s:c r="E345">
        <s:f>D345*3.5*70/200</s:f>
        <s:v>7.7175000000000002</s:v>
      </s:c>
    </s:row>
    <s:row r="346">
      <s:c r="A346" t="s">
        <s:v>675</s:v>
      </s:c>
      <s:c r="B346" t="s">
        <s:v>710</s:v>
      </s:c>
      <s:c r="C346" t="s">
        <s:v>711</s:v>
      </s:c>
      <s:c r="D346">
        <s:v>5</s:v>
      </s:c>
      <s:c r="E346">
        <s:f>D346*3.5*70/200</s:f>
        <s:v>6.125</s:v>
      </s:c>
    </s:row>
    <s:row r="347">
      <s:c r="A347" t="s">
        <s:v>675</s:v>
      </s:c>
      <s:c r="B347" t="s">
        <s:v>712</s:v>
      </s:c>
      <s:c r="C347" t="s">
        <s:v>713</s:v>
      </s:c>
      <s:c r="D347">
        <s:v>5.5</s:v>
      </s:c>
      <s:c r="E347">
        <s:f>D347*3.5*70/200</s:f>
        <s:v>6.7374999999999998</s:v>
      </s:c>
    </s:row>
    <s:row r="348">
      <s:c r="A348" t="s">
        <s:v>675</s:v>
      </s:c>
      <s:c r="B348" t="s">
        <s:v>714</s:v>
      </s:c>
      <s:c r="C348" t="s">
        <s:v>715</s:v>
      </s:c>
      <s:c r="D348">
        <s:v>2.5</s:v>
      </s:c>
      <s:c r="E348">
        <s:f>D348*3.5*70/200</s:f>
        <s:v>3.0625</s:v>
      </s:c>
    </s:row>
    <s:row r="349">
      <s:c r="A349" t="s">
        <s:v>675</s:v>
      </s:c>
      <s:c r="B349" t="s">
        <s:v>716</s:v>
      </s:c>
      <s:c r="C349" t="s">
        <s:v>717</s:v>
      </s:c>
      <s:c r="D349">
        <s:v>6</s:v>
      </s:c>
      <s:c r="E349">
        <s:f>D349*3.5*70/200</s:f>
        <s:v>7.35</s:v>
      </s:c>
    </s:row>
    <s:row r="350">
      <s:c r="A350" t="s">
        <s:v>675</s:v>
      </s:c>
      <s:c r="B350" t="s">
        <s:v>718</s:v>
      </s:c>
      <s:c r="C350" t="s">
        <s:v>719</s:v>
      </s:c>
      <s:c r="D350">
        <s:v>5</s:v>
      </s:c>
      <s:c r="E350">
        <s:f>D350*3.5*70/200</s:f>
        <s:v>6.125</s:v>
      </s:c>
    </s:row>
    <s:row r="351">
      <s:c r="A351" t="s">
        <s:v>675</s:v>
      </s:c>
      <s:c r="B351" t="s">
        <s:v>720</s:v>
      </s:c>
      <s:c r="C351" t="s">
        <s:v>721</s:v>
      </s:c>
      <s:c r="D351">
        <s:v>4.5</s:v>
      </s:c>
      <s:c r="E351">
        <s:f>D351*3.5*70/200</s:f>
        <s:v>5.5125000000000002</s:v>
      </s:c>
    </s:row>
    <s:row r="352">
      <s:c r="A352" t="s">
        <s:v>675</s:v>
      </s:c>
      <s:c r="B352" t="s">
        <s:v>722</s:v>
      </s:c>
      <s:c r="C352" t="s">
        <s:v>723</s:v>
      </s:c>
      <s:c r="D352">
        <s:v>2.5</s:v>
      </s:c>
      <s:c r="E352">
        <s:f>D352*3.5*70/200</s:f>
        <s:v>3.0625</s:v>
      </s:c>
    </s:row>
    <s:row r="353">
      <s:c r="A353" t="s">
        <s:v>675</s:v>
      </s:c>
      <s:c r="B353" t="s">
        <s:v>724</s:v>
      </s:c>
      <s:c r="C353" t="s">
        <s:v>725</s:v>
      </s:c>
      <s:c r="D353">
        <s:v>2.6</s:v>
      </s:c>
      <s:c r="E353">
        <s:f>D353*3.5*70/200</s:f>
        <s:v>3.1850000000000001</s:v>
      </s:c>
    </s:row>
    <s:row r="354">
      <s:c r="A354" t="s">
        <s:v>675</s:v>
      </s:c>
      <s:c r="B354" t="s">
        <s:v>726</s:v>
      </s:c>
      <s:c r="C354" t="s">
        <s:v>727</s:v>
      </s:c>
      <s:c r="D354">
        <s:v>4.3</s:v>
      </s:c>
      <s:c r="E354">
        <s:f>D354*3.5*70/200</s:f>
        <s:v>5.2675000000000001</s:v>
      </s:c>
    </s:row>
    <s:row r="355">
      <s:c r="A355" t="s">
        <s:v>675</s:v>
      </s:c>
      <s:c r="B355" t="s">
        <s:v>728</s:v>
      </s:c>
      <s:c r="C355" t="s">
        <s:v>729</s:v>
      </s:c>
      <s:c r="D355">
        <s:v>4.3</s:v>
      </s:c>
      <s:c r="E355">
        <s:f>D355*3.5*70/200</s:f>
        <s:v>5.2675000000000001</s:v>
      </s:c>
    </s:row>
    <s:row r="356">
      <s:c r="A356" t="s">
        <s:v>675</s:v>
      </s:c>
      <s:c r="B356" t="s">
        <s:v>730</s:v>
      </s:c>
      <s:c r="C356" t="s">
        <s:v>731</s:v>
      </s:c>
      <s:c r="D356">
        <s:v>4.5</s:v>
      </s:c>
      <s:c r="E356">
        <s:f>D356*3.5*70/200</s:f>
        <s:v>5.5125000000000002</s:v>
      </s:c>
    </s:row>
    <s:row r="357">
      <s:c r="A357" t="s">
        <s:v>675</s:v>
      </s:c>
      <s:c r="B357" t="s">
        <s:v>732</s:v>
      </s:c>
      <s:c r="C357" t="s">
        <s:v>733</s:v>
      </s:c>
      <s:c r="D357">
        <s:v>4</s:v>
      </s:c>
      <s:c r="E357">
        <s:f>D357*3.5*70/200</s:f>
        <s:v>4.9000000000000004</s:v>
      </s:c>
    </s:row>
    <s:row r="358">
      <s:c r="A358" t="s">
        <s:v>675</s:v>
      </s:c>
      <s:c r="B358" t="s">
        <s:v>734</s:v>
      </s:c>
      <s:c r="C358" t="s">
        <s:v>735</s:v>
      </s:c>
      <s:c r="D358">
        <s:v>4</s:v>
      </s:c>
      <s:c r="E358">
        <s:f>D358*3.5*70/200</s:f>
        <s:v>4.9000000000000004</s:v>
      </s:c>
    </s:row>
    <s:row r="359">
      <s:c r="A359" t="s">
        <s:v>675</s:v>
      </s:c>
      <s:c r="B359" t="s">
        <s:v>736</s:v>
      </s:c>
      <s:c r="C359" t="s">
        <s:v>737</s:v>
      </s:c>
      <s:c r="D359">
        <s:v>4</s:v>
      </s:c>
      <s:c r="E359">
        <s:f>D359*3.5*70/200</s:f>
        <s:v>4.9000000000000004</s:v>
      </s:c>
    </s:row>
    <s:row r="360">
      <s:c r="A360" t="s">
        <s:v>675</s:v>
      </s:c>
      <s:c r="B360" t="s">
        <s:v>738</s:v>
      </s:c>
      <s:c r="C360" t="s">
        <s:v>739</s:v>
      </s:c>
      <s:c r="D360">
        <s:v>3</s:v>
      </s:c>
      <s:c r="E360">
        <s:f>D360*3.5*70/200</s:f>
        <s:v>3.6749999999999998</s:v>
      </s:c>
    </s:row>
    <s:row r="361">
      <s:c r="A361" t="s">
        <s:v>675</s:v>
      </s:c>
      <s:c r="B361" t="s">
        <s:v>740</s:v>
      </s:c>
      <s:c r="C361" t="s">
        <s:v>741</s:v>
      </s:c>
      <s:c r="D361">
        <s:v>4</s:v>
      </s:c>
      <s:c r="E361">
        <s:f>D361*3.5*70/200</s:f>
        <s:v>4.9000000000000004</s:v>
      </s:c>
    </s:row>
    <s:row r="362">
      <s:c r="A362" t="s">
        <s:v>675</s:v>
      </s:c>
      <s:c r="B362" t="s">
        <s:v>742</s:v>
      </s:c>
      <s:c r="C362" t="s">
        <s:v>743</s:v>
      </s:c>
      <s:c r="D362">
        <s:v>5.5</s:v>
      </s:c>
      <s:c r="E362">
        <s:f>D362*3.5*70/200</s:f>
        <s:v>6.7374999999999998</s:v>
      </s:c>
    </s:row>
    <s:row r="363">
      <s:c r="A363" t="s">
        <s:v>675</s:v>
      </s:c>
      <s:c r="B363" t="s">
        <s:v>744</s:v>
      </s:c>
      <s:c r="C363" t="s">
        <s:v>745</s:v>
      </s:c>
      <s:c r="D363">
        <s:v>5.3</s:v>
      </s:c>
      <s:c r="E363">
        <s:f>D363*3.5*70/200</s:f>
        <s:v>6.4924999999999997</s:v>
      </s:c>
    </s:row>
    <s:row r="364">
      <s:c r="A364" t="s">
        <s:v>675</s:v>
      </s:c>
      <s:c r="B364" t="s">
        <s:v>746</s:v>
      </s:c>
      <s:c r="C364" t="s">
        <s:v>747</s:v>
      </s:c>
      <s:c r="D364">
        <s:v>6</s:v>
      </s:c>
      <s:c r="E364">
        <s:f>D364*3.5*70/200</s:f>
        <s:v>7.35</s:v>
      </s:c>
    </s:row>
    <s:row r="365">
      <s:c r="A365" t="s">
        <s:v>675</s:v>
      </s:c>
      <s:c r="B365" t="s">
        <s:v>748</s:v>
      </s:c>
      <s:c r="C365" t="s">
        <s:v>749</s:v>
      </s:c>
      <s:c r="D365">
        <s:v>7.5</s:v>
      </s:c>
      <s:c r="E365">
        <s:f>D365*3.5*70/200</s:f>
        <s:v>9.1875</s:v>
      </s:c>
    </s:row>
    <s:row r="366">
      <s:c r="A366" t="s">
        <s:v>675</s:v>
      </s:c>
      <s:c r="B366" t="s">
        <s:v>750</s:v>
      </s:c>
      <s:c r="C366" t="s">
        <s:v>751</s:v>
      </s:c>
      <s:c r="D366">
        <s:v>3.8</s:v>
      </s:c>
      <s:c r="E366">
        <s:f>D366*3.5*70/200</s:f>
        <s:v>4.6549999999999994</s:v>
      </s:c>
    </s:row>
    <s:row r="367">
      <s:c r="A367" t="s">
        <s:v>675</s:v>
      </s:c>
      <s:c r="B367" t="s">
        <s:v>752</s:v>
      </s:c>
      <s:c r="C367" t="s">
        <s:v>753</s:v>
      </s:c>
      <s:c r="D367">
        <s:v>3.3</s:v>
      </s:c>
      <s:c r="E367">
        <s:f>D367*3.5*70/200</s:f>
        <s:v>4.0424999999999995</s:v>
      </s:c>
    </s:row>
    <s:row r="368">
      <s:c r="A368" t="s">
        <s:v>675</s:v>
      </s:c>
      <s:c r="B368" t="s">
        <s:v>754</s:v>
      </s:c>
      <s:c r="C368" t="s">
        <s:v>755</s:v>
      </s:c>
      <s:c r="D368">
        <s:v>3</s:v>
      </s:c>
      <s:c r="E368">
        <s:f>D368*3.5*70/200</s:f>
        <s:v>3.6749999999999998</s:v>
      </s:c>
    </s:row>
    <s:row r="369">
      <s:c r="A369" t="s">
        <s:v>675</s:v>
      </s:c>
      <s:c r="B369" t="s">
        <s:v>756</s:v>
      </s:c>
      <s:c r="C369" t="s">
        <s:v>757</s:v>
      </s:c>
      <s:c r="D369">
        <s:v>4</s:v>
      </s:c>
      <s:c r="E369">
        <s:f>D369*3.5*70/200</s:f>
        <s:v>4.9000000000000004</s:v>
      </s:c>
    </s:row>
    <s:row r="370">
      <s:c r="A370" t="s">
        <s:v>675</s:v>
      </s:c>
      <s:c r="B370" t="s">
        <s:v>758</s:v>
      </s:c>
      <s:c r="C370" t="s">
        <s:v>759</s:v>
      </s:c>
      <s:c r="D370">
        <s:v>3.8</s:v>
      </s:c>
      <s:c r="E370">
        <s:f>D370*3.5*70/200</s:f>
        <s:v>4.6549999999999994</s:v>
      </s:c>
    </s:row>
    <s:row r="371">
      <s:c r="A371" t="s">
        <s:v>675</s:v>
      </s:c>
      <s:c r="B371" t="s">
        <s:v>760</s:v>
      </s:c>
      <s:c r="C371" t="s">
        <s:v>761</s:v>
      </s:c>
      <s:c r="D371">
        <s:v>4.5</s:v>
      </s:c>
      <s:c r="E371">
        <s:f>D371*3.5*70/200</s:f>
        <s:v>5.5125000000000002</s:v>
      </s:c>
    </s:row>
    <s:row r="372">
      <s:c r="A372" t="s">
        <s:v>675</s:v>
      </s:c>
      <s:c r="B372" t="s">
        <s:v>762</s:v>
      </s:c>
      <s:c r="C372" t="s">
        <s:v>763</s:v>
      </s:c>
      <s:c r="D372">
        <s:v>5</s:v>
      </s:c>
      <s:c r="E372">
        <s:f>D372*3.5*70/200</s:f>
        <s:v>6.125</s:v>
      </s:c>
    </s:row>
    <s:row r="373">
      <s:c r="A373" t="s">
        <s:v>675</s:v>
      </s:c>
      <s:c r="B373" t="s">
        <s:v>764</s:v>
      </s:c>
      <s:c r="C373" t="s">
        <s:v>765</s:v>
      </s:c>
      <s:c r="D373">
        <s:v>3.8</s:v>
      </s:c>
      <s:c r="E373">
        <s:f>D373*3.5*70/200</s:f>
        <s:v>4.6549999999999994</s:v>
      </s:c>
    </s:row>
    <s:row r="374">
      <s:c r="A374" t="s">
        <s:v>675</s:v>
      </s:c>
      <s:c r="B374" t="s">
        <s:v>766</s:v>
      </s:c>
      <s:c r="C374" t="s">
        <s:v>767</s:v>
      </s:c>
      <s:c r="D374">
        <s:v>3.5</s:v>
      </s:c>
      <s:c r="E374">
        <s:f>D374*3.5*70/200</s:f>
        <s:v>4.2874999999999996</s:v>
      </s:c>
    </s:row>
    <s:row r="375">
      <s:c r="A375" t="s">
        <s:v>675</s:v>
      </s:c>
      <s:c r="B375" t="s">
        <s:v>768</s:v>
      </s:c>
      <s:c r="C375" t="s">
        <s:v>769</s:v>
      </s:c>
      <s:c r="D375">
        <s:v>4.5</s:v>
      </s:c>
      <s:c r="E375">
        <s:f>D375*3.5*70/200</s:f>
        <s:v>5.5125000000000002</s:v>
      </s:c>
    </s:row>
    <s:row r="376">
      <s:c r="A376" t="s">
        <s:v>675</s:v>
      </s:c>
      <s:c r="B376" t="s">
        <s:v>770</s:v>
      </s:c>
      <s:c r="C376" t="s">
        <s:v>771</s:v>
      </s:c>
      <s:c r="D376">
        <s:v>3</s:v>
      </s:c>
      <s:c r="E376">
        <s:f>D376*3.5*70/200</s:f>
        <s:v>3.6749999999999998</s:v>
      </s:c>
    </s:row>
    <s:row r="377">
      <s:c r="A377" t="s">
        <s:v>675</s:v>
      </s:c>
      <s:c r="B377" t="s">
        <s:v>772</s:v>
      </s:c>
      <s:c r="C377" t="s">
        <s:v>773</s:v>
      </s:c>
      <s:c r="D377">
        <s:v>3</s:v>
      </s:c>
      <s:c r="E377">
        <s:f>D377*3.5*70/200</s:f>
        <s:v>3.6749999999999998</s:v>
      </s:c>
    </s:row>
    <s:row r="378">
      <s:c r="A378" t="s">
        <s:v>675</s:v>
      </s:c>
      <s:c r="B378" t="s">
        <s:v>774</s:v>
      </s:c>
      <s:c r="C378" t="s">
        <s:v>775</s:v>
      </s:c>
      <s:c r="D378">
        <s:v>4.8</s:v>
      </s:c>
      <s:c r="E378">
        <s:f>D378*3.5*70/200</s:f>
        <s:v>5.88</s:v>
      </s:c>
    </s:row>
    <s:row r="379">
      <s:c r="A379" t="s">
        <s:v>675</s:v>
      </s:c>
      <s:c r="B379" t="s">
        <s:v>776</s:v>
      </s:c>
      <s:c r="C379" t="s">
        <s:v>777</s:v>
      </s:c>
      <s:c r="D379">
        <s:v>6</s:v>
      </s:c>
      <s:c r="E379">
        <s:f>D379*3.5*70/200</s:f>
        <s:v>7.35</s:v>
      </s:c>
    </s:row>
    <s:row r="380">
      <s:c r="A380" t="s">
        <s:v>675</s:v>
      </s:c>
      <s:c r="B380" t="s">
        <s:v>778</s:v>
      </s:c>
      <s:c r="C380" t="s">
        <s:v>779</s:v>
      </s:c>
      <s:c r="D380">
        <s:v>2.2999999999999998</s:v>
      </s:c>
      <s:c r="E380">
        <s:f>D380*3.5*70/200</s:f>
        <s:v>2.8174999999999994</s:v>
      </s:c>
    </s:row>
    <s:row r="381">
      <s:c r="A381" t="s">
        <s:v>675</s:v>
      </s:c>
      <s:c r="B381" t="s">
        <s:v>780</s:v>
      </s:c>
      <s:c r="C381" t="s">
        <s:v>781</s:v>
      </s:c>
      <s:c r="D381">
        <s:v>4</s:v>
      </s:c>
      <s:c r="E381">
        <s:f>D381*3.5*70/200</s:f>
        <s:v>4.9000000000000004</s:v>
      </s:c>
    </s:row>
    <s:row r="382">
      <s:c r="A382" t="s">
        <s:v>675</s:v>
      </s:c>
      <s:c r="B382" t="s">
        <s:v>782</s:v>
      </s:c>
      <s:c r="C382" t="s">
        <s:v>783</s:v>
      </s:c>
      <s:c r="D382">
        <s:v>6</s:v>
      </s:c>
      <s:c r="E382">
        <s:f>D382*3.5*70/200</s:f>
        <s:v>7.35</s:v>
      </s:c>
    </s:row>
    <s:row r="383">
      <s:c r="A383" t="s">
        <s:v>784</s:v>
      </s:c>
      <s:c r="B383" t="s">
        <s:v>785</s:v>
      </s:c>
      <s:c r="C383" t="s">
        <s:v>786</s:v>
      </s:c>
      <s:c r="D383">
        <s:v>1.3</s:v>
      </s:c>
      <s:c r="E383">
        <s:f>D383*3.5*70/200</s:f>
        <s:v>1.5925</s:v>
      </s:c>
    </s:row>
    <s:row r="384">
      <s:c r="A384" t="s">
        <s:v>784</s:v>
      </s:c>
      <s:c r="B384" t="s">
        <s:v>787</s:v>
      </s:c>
      <s:c r="C384" t="s">
        <s:v>788</s:v>
      </s:c>
      <s:c r="D384">
        <s:v>2.5</s:v>
      </s:c>
      <s:c r="E384">
        <s:f>D384*3.5*70/200</s:f>
        <s:v>3.0625</s:v>
      </s:c>
    </s:row>
    <s:row r="385">
      <s:c r="A385" t="s">
        <s:v>784</s:v>
      </s:c>
      <s:c r="B385" t="s">
        <s:v>789</s:v>
      </s:c>
      <s:c r="C385" t="s">
        <s:v>790</s:v>
      </s:c>
      <s:c r="D385">
        <s:v>1.5</s:v>
      </s:c>
      <s:c r="E385">
        <s:f>D385*3.5*70/200</s:f>
        <s:v>1.8374999999999999</s:v>
      </s:c>
    </s:row>
    <s:row r="386">
      <s:c r="A386" t="s">
        <s:v>784</s:v>
      </s:c>
      <s:c r="B386" t="s">
        <s:v>791</s:v>
      </s:c>
      <s:c r="C386" t="s">
        <s:v>792</s:v>
      </s:c>
      <s:c r="D386">
        <s:v>1.5</s:v>
      </s:c>
      <s:c r="E386">
        <s:f>D386*3.5*70/200</s:f>
        <s:v>1.8374999999999999</s:v>
      </s:c>
    </s:row>
    <s:row r="387">
      <s:c r="A387" t="s">
        <s:v>784</s:v>
      </s:c>
      <s:c r="B387" t="s">
        <s:v>793</s:v>
      </s:c>
      <s:c r="C387" t="s">
        <s:v>794</s:v>
      </s:c>
      <s:c r="D387">
        <s:v>1.5</s:v>
      </s:c>
      <s:c r="E387">
        <s:f>D387*3.5*70/200</s:f>
        <s:v>1.8374999999999999</s:v>
      </s:c>
    </s:row>
    <s:row r="388">
      <s:c r="A388" t="s">
        <s:v>784</s:v>
      </s:c>
      <s:c r="B388" t="s">
        <s:v>795</s:v>
      </s:c>
      <s:c r="C388" t="s">
        <s:v>796</s:v>
      </s:c>
      <s:c r="D388">
        <s:v>1.8</s:v>
      </s:c>
      <s:c r="E388">
        <s:f>D388*3.5*70/200</s:f>
        <s:v>2.2050000000000001</s:v>
      </s:c>
    </s:row>
    <s:row r="389">
      <s:c r="A389" t="s">
        <s:v>784</s:v>
      </s:c>
      <s:c r="B389" t="s">
        <s:v>797</s:v>
      </s:c>
      <s:c r="C389" t="s">
        <s:v>798</s:v>
      </s:c>
      <s:c r="D389">
        <s:v>1</s:v>
      </s:c>
      <s:c r="E389">
        <s:f>D389*3.5*70/200</s:f>
        <s:v>1.2250000000000001</s:v>
      </s:c>
    </s:row>
    <s:row r="390">
      <s:c r="A390" t="s">
        <s:v>784</s:v>
      </s:c>
      <s:c r="B390" t="s">
        <s:v>799</s:v>
      </s:c>
      <s:c r="C390" t="s">
        <s:v>800</s:v>
      </s:c>
      <s:c r="D390">
        <s:v>1</s:v>
      </s:c>
      <s:c r="E390">
        <s:f>D390*3.5*70/200</s:f>
        <s:v>1.2250000000000001</s:v>
      </s:c>
    </s:row>
    <s:row r="391">
      <s:c r="A391" t="s">
        <s:v>784</s:v>
      </s:c>
      <s:c r="B391" t="s">
        <s:v>801</s:v>
      </s:c>
      <s:c r="C391" t="s">
        <s:v>802</s:v>
      </s:c>
      <s:c r="D391">
        <s:v>1.8</s:v>
      </s:c>
      <s:c r="E391">
        <s:f>D391*3.5*70/200</s:f>
        <s:v>2.2050000000000001</s:v>
      </s:c>
    </s:row>
    <s:row r="392">
      <s:c r="A392" t="s">
        <s:v>784</s:v>
      </s:c>
      <s:c r="B392" t="s">
        <s:v>803</s:v>
      </s:c>
      <s:c r="C392" t="s">
        <s:v>804</s:v>
      </s:c>
      <s:c r="D392">
        <s:v>2</s:v>
      </s:c>
      <s:c r="E392">
        <s:f>D392*3.5*70/200</s:f>
        <s:v>2.4500000000000002</s:v>
      </s:c>
    </s:row>
    <s:row r="393">
      <s:c r="A393" t="s">
        <s:v>784</s:v>
      </s:c>
      <s:c r="B393" t="s">
        <s:v>805</s:v>
      </s:c>
      <s:c r="C393" t="s">
        <s:v>806</s:v>
      </s:c>
      <s:c r="D393">
        <s:v>1.3</s:v>
      </s:c>
      <s:c r="E393">
        <s:f>D393*3.5*70/200</s:f>
        <s:v>1.5925</s:v>
      </s:c>
    </s:row>
    <s:row r="394">
      <s:c r="A394" t="s">
        <s:v>784</s:v>
      </s:c>
      <s:c r="B394" t="s">
        <s:v>807</s:v>
      </s:c>
      <s:c r="C394" t="s">
        <s:v>808</s:v>
      </s:c>
      <s:c r="D394">
        <s:v>1.3</s:v>
      </s:c>
      <s:c r="E394">
        <s:f>D394*3.5*70/200</s:f>
        <s:v>1.5925</s:v>
      </s:c>
    </s:row>
    <s:row r="395">
      <s:c r="A395" t="s">
        <s:v>784</s:v>
      </s:c>
      <s:c r="B395" t="s">
        <s:v>809</s:v>
      </s:c>
      <s:c r="C395" t="s">
        <s:v>810</s:v>
      </s:c>
      <s:c r="D395">
        <s:v>1.3</s:v>
      </s:c>
      <s:c r="E395">
        <s:f>D395*3.5*70/200</s:f>
        <s:v>1.5925</s:v>
      </s:c>
    </s:row>
    <s:row r="396">
      <s:c r="A396" t="s">
        <s:v>784</s:v>
      </s:c>
      <s:c r="B396" t="s">
        <s:v>811</s:v>
      </s:c>
      <s:c r="C396" t="s">
        <s:v>812</s:v>
      </s:c>
      <s:c r="D396">
        <s:v>1.5</s:v>
      </s:c>
      <s:c r="E396">
        <s:f>D396*3.5*70/200</s:f>
        <s:v>1.8374999999999999</s:v>
      </s:c>
    </s:row>
    <s:row r="397">
      <s:c r="A397" t="s">
        <s:v>784</s:v>
      </s:c>
      <s:c r="B397" t="s">
        <s:v>813</s:v>
      </s:c>
      <s:c r="C397" t="s">
        <s:v>814</s:v>
      </s:c>
      <s:c r="D397">
        <s:v>1.8</s:v>
      </s:c>
      <s:c r="E397">
        <s:f>D397*3.5*70/200</s:f>
        <s:v>2.2050000000000001</s:v>
      </s:c>
    </s:row>
    <s:row r="398">
      <s:c r="A398" t="s">
        <s:v>784</s:v>
      </s:c>
      <s:c r="B398" t="s">
        <s:v>815</s:v>
      </s:c>
      <s:c r="C398" t="s">
        <s:v>816</s:v>
      </s:c>
      <s:c r="D398">
        <s:v>1</s:v>
      </s:c>
      <s:c r="E398">
        <s:f>D398*3.5*70/200</s:f>
        <s:v>1.2250000000000001</s:v>
      </s:c>
    </s:row>
    <s:row r="399">
      <s:c r="A399" t="s">
        <s:v>784</s:v>
      </s:c>
      <s:c r="B399" t="s">
        <s:v>817</s:v>
      </s:c>
      <s:c r="C399" t="s">
        <s:v>818</s:v>
      </s:c>
      <s:c r="D399">
        <s:v>2.5</s:v>
      </s:c>
      <s:c r="E399">
        <s:f>D399*3.5*70/200</s:f>
        <s:v>3.0625</s:v>
      </s:c>
    </s:row>
    <s:row r="400">
      <s:c r="A400" t="s">
        <s:v>784</s:v>
      </s:c>
      <s:c r="B400" t="s">
        <s:v>819</s:v>
      </s:c>
      <s:c r="C400" t="s">
        <s:v>820</s:v>
      </s:c>
      <s:c r="D400">
        <s:v>1.8</s:v>
      </s:c>
      <s:c r="E400">
        <s:f>D400*3.5*70/200</s:f>
        <s:v>2.2050000000000001</s:v>
      </s:c>
    </s:row>
    <s:row r="401">
      <s:c r="A401" t="s">
        <s:v>784</s:v>
      </s:c>
      <s:c r="B401" t="s">
        <s:v>821</s:v>
      </s:c>
      <s:c r="C401" t="s">
        <s:v>822</s:v>
      </s:c>
      <s:c r="D401">
        <s:v>3</s:v>
      </s:c>
      <s:c r="E401">
        <s:f>D401*3.5*70/200</s:f>
        <s:v>3.6749999999999998</s:v>
      </s:c>
    </s:row>
    <s:row r="402">
      <s:c r="A402" t="s">
        <s:v>784</s:v>
      </s:c>
      <s:c r="B402" t="s">
        <s:v>823</s:v>
      </s:c>
      <s:c r="C402" t="s">
        <s:v>824</s:v>
      </s:c>
      <s:c r="D402">
        <s:v>2.5</s:v>
      </s:c>
      <s:c r="E402">
        <s:f>D402*3.5*70/200</s:f>
        <s:v>3.0625</s:v>
      </s:c>
    </s:row>
    <s:row r="403">
      <s:c r="A403" t="s">
        <s:v>784</s:v>
      </s:c>
      <s:c r="B403" t="s">
        <s:v>825</s:v>
      </s:c>
      <s:c r="C403" t="s">
        <s:v>826</s:v>
      </s:c>
      <s:c r="D403">
        <s:v>3.3</s:v>
      </s:c>
      <s:c r="E403">
        <s:f>D403*3.5*70/200</s:f>
        <s:v>4.0424999999999995</s:v>
      </s:c>
    </s:row>
    <s:row r="404">
      <s:c r="A404" t="s">
        <s:v>784</s:v>
      </s:c>
      <s:c r="B404" t="s">
        <s:v>827</s:v>
      </s:c>
      <s:c r="C404" t="s">
        <s:v>828</s:v>
      </s:c>
      <s:c r="D404">
        <s:v>3.5</s:v>
      </s:c>
      <s:c r="E404">
        <s:f>D404*3.5*70/200</s:f>
        <s:v>4.2874999999999996</s:v>
      </s:c>
    </s:row>
    <s:row r="405">
      <s:c r="A405" t="s">
        <s:v>784</s:v>
      </s:c>
      <s:c r="B405" t="s">
        <s:v>829</s:v>
      </s:c>
      <s:c r="C405" t="s">
        <s:v>830</s:v>
      </s:c>
      <s:c r="D405">
        <s:v>1.5</s:v>
      </s:c>
      <s:c r="E405">
        <s:f>D405*3.5*70/200</s:f>
        <s:v>1.8374999999999999</s:v>
      </s:c>
    </s:row>
    <s:row r="406">
      <s:c r="A406" t="s">
        <s:v>784</s:v>
      </s:c>
      <s:c r="B406" t="s">
        <s:v>831</s:v>
      </s:c>
      <s:c r="C406" t="s">
        <s:v>832</s:v>
      </s:c>
      <s:c r="D406">
        <s:v>2.5</s:v>
      </s:c>
      <s:c r="E406">
        <s:f>D406*3.5*70/200</s:f>
        <s:v>3.0625</s:v>
      </s:c>
    </s:row>
    <s:row r="407">
      <s:c r="A407" t="s">
        <s:v>784</s:v>
      </s:c>
      <s:c r="B407" t="s">
        <s:v>833</s:v>
      </s:c>
      <s:c r="C407" t="s">
        <s:v>834</s:v>
      </s:c>
      <s:c r="D407">
        <s:v>2</s:v>
      </s:c>
      <s:c r="E407">
        <s:f>D407*3.5*70/200</s:f>
        <s:v>2.4500000000000002</s:v>
      </s:c>
    </s:row>
    <s:row r="408">
      <s:c r="A408" t="s">
        <s:v>784</s:v>
      </s:c>
      <s:c r="B408" t="s">
        <s:v>835</s:v>
      </s:c>
      <s:c r="C408" t="s">
        <s:v>836</s:v>
      </s:c>
      <s:c r="D408">
        <s:v>3.5</s:v>
      </s:c>
      <s:c r="E408">
        <s:f>D408*3.5*70/200</s:f>
        <s:v>4.2874999999999996</s:v>
      </s:c>
    </s:row>
    <s:row r="409">
      <s:c r="A409" t="s">
        <s:v>784</s:v>
      </s:c>
      <s:c r="B409" t="s">
        <s:v>837</s:v>
      </s:c>
      <s:c r="C409" t="s">
        <s:v>838</s:v>
      </s:c>
      <s:c r="D409">
        <s:v>2.5</s:v>
      </s:c>
      <s:c r="E409">
        <s:f>D409*3.5*70/200</s:f>
        <s:v>3.0625</s:v>
      </s:c>
    </s:row>
    <s:row r="410">
      <s:c r="A410" t="s">
        <s:v>784</s:v>
      </s:c>
      <s:c r="B410" t="s">
        <s:v>839</s:v>
      </s:c>
      <s:c r="C410" t="s">
        <s:v>840</s:v>
      </s:c>
      <s:c r="D410">
        <s:v>1.5</s:v>
      </s:c>
      <s:c r="E410">
        <s:f>D410*3.5*70/200</s:f>
        <s:v>1.8374999999999999</s:v>
      </s:c>
    </s:row>
    <s:row r="411">
      <s:c r="A411" t="s">
        <s:v>841</s:v>
      </s:c>
      <s:c r="B411" t="s">
        <s:v>842</s:v>
      </s:c>
      <s:c r="C411" t="s">
        <s:v>843</s:v>
      </s:c>
      <s:c r="D411">
        <s:v>1.8</s:v>
      </s:c>
      <s:c r="E411">
        <s:f>D411*3.5*70/200</s:f>
        <s:v>2.2050000000000001</s:v>
      </s:c>
    </s:row>
    <s:row r="412">
      <s:c r="A412" t="s">
        <s:v>841</s:v>
      </s:c>
      <s:c r="B412" t="s">
        <s:v>844</s:v>
      </s:c>
      <s:c r="C412" t="s">
        <s:v>845</s:v>
      </s:c>
      <s:c r="D412">
        <s:v>2.2999999999999998</s:v>
      </s:c>
      <s:c r="E412">
        <s:f>D412*3.5*70/200</s:f>
        <s:v>2.8174999999999994</s:v>
      </s:c>
    </s:row>
    <s:row r="413">
      <s:c r="A413" t="s">
        <s:v>841</s:v>
      </s:c>
      <s:c r="B413" t="s">
        <s:v>846</s:v>
      </s:c>
      <s:c r="C413" t="s">
        <s:v>847</s:v>
      </s:c>
      <s:c r="D413">
        <s:v>2.2999999999999998</s:v>
      </s:c>
      <s:c r="E413">
        <s:f>D413*3.5*70/200</s:f>
        <s:v>2.8174999999999994</s:v>
      </s:c>
    </s:row>
    <s:row r="414">
      <s:c r="A414" t="s">
        <s:v>841</s:v>
      </s:c>
      <s:c r="B414" t="s">
        <s:v>848</s:v>
      </s:c>
      <s:c r="C414" t="s">
        <s:v>849</s:v>
      </s:c>
      <s:c r="D414">
        <s:v>2.5</s:v>
      </s:c>
      <s:c r="E414">
        <s:f>D414*3.5*70/200</s:f>
        <s:v>3.0625</s:v>
      </s:c>
    </s:row>
    <s:row r="415">
      <s:c r="A415" t="s">
        <s:v>841</s:v>
      </s:c>
      <s:c r="B415" t="s">
        <s:v>850</s:v>
      </s:c>
      <s:c r="C415" t="s">
        <s:v>851</s:v>
      </s:c>
      <s:c r="D415">
        <s:v>3.8</s:v>
      </s:c>
      <s:c r="E415">
        <s:f>D415*3.5*70/200</s:f>
        <s:v>4.6549999999999994</s:v>
      </s:c>
    </s:row>
    <s:row r="416">
      <s:c r="A416" t="s">
        <s:v>841</s:v>
      </s:c>
      <s:c r="B416" t="s">
        <s:v>852</s:v>
      </s:c>
      <s:c r="C416" t="s">
        <s:v>853</s:v>
      </s:c>
      <s:c r="D416">
        <s:v>3</s:v>
      </s:c>
      <s:c r="E416">
        <s:f>D416*3.5*70/200</s:f>
        <s:v>3.6749999999999998</s:v>
      </s:c>
    </s:row>
    <s:row r="417">
      <s:c r="A417" t="s">
        <s:v>841</s:v>
      </s:c>
      <s:c r="B417" t="s">
        <s:v>854</s:v>
      </s:c>
      <s:c r="C417" t="s">
        <s:v>855</s:v>
      </s:c>
      <s:c r="D417">
        <s:v>8.3000000000000007</s:v>
      </s:c>
      <s:c r="E417">
        <s:f>D417*3.5*70/200</s:f>
        <s:v>10.1675</s:v>
      </s:c>
    </s:row>
    <s:row r="418">
      <s:c r="A418" t="s">
        <s:v>841</s:v>
      </s:c>
      <s:c r="B418" t="s">
        <s:v>856</s:v>
      </s:c>
      <s:c r="C418" t="s">
        <s:v>857</s:v>
      </s:c>
      <s:c r="D418">
        <s:v>2</s:v>
      </s:c>
      <s:c r="E418">
        <s:f>D418*3.5*70/200</s:f>
        <s:v>2.4500000000000002</s:v>
      </s:c>
    </s:row>
    <s:row r="419">
      <s:c r="A419" t="s">
        <s:v>841</s:v>
      </s:c>
      <s:c r="B419" t="s">
        <s:v>858</s:v>
      </s:c>
      <s:c r="C419" t="s">
        <s:v>859</s:v>
      </s:c>
      <s:c r="D419">
        <s:v>1.8</s:v>
      </s:c>
      <s:c r="E419">
        <s:f>D419*3.5*70/200</s:f>
        <s:v>2.2050000000000001</s:v>
      </s:c>
    </s:row>
    <s:row r="420">
      <s:c r="A420" t="s">
        <s:v>841</s:v>
      </s:c>
      <s:c r="B420" t="s">
        <s:v>860</s:v>
      </s:c>
      <s:c r="C420" t="s">
        <s:v>861</s:v>
      </s:c>
      <s:c r="D420">
        <s:v>2.2999999999999998</s:v>
      </s:c>
      <s:c r="E420">
        <s:f>D420*3.5*70/200</s:f>
        <s:v>2.8174999999999994</s:v>
      </s:c>
    </s:row>
    <s:row r="421">
      <s:c r="A421" t="s">
        <s:v>841</s:v>
      </s:c>
      <s:c r="B421" t="s">
        <s:v>862</s:v>
      </s:c>
      <s:c r="C421" t="s">
        <s:v>863</s:v>
      </s:c>
      <s:c r="D421">
        <s:v>2</s:v>
      </s:c>
      <s:c r="E421">
        <s:f>D421*3.5*70/200</s:f>
        <s:v>2.4500000000000002</s:v>
      </s:c>
    </s:row>
    <s:row r="422">
      <s:c r="A422" t="s">
        <s:v>841</s:v>
      </s:c>
      <s:c r="B422" t="s">
        <s:v>864</s:v>
      </s:c>
      <s:c r="C422" t="s">
        <s:v>865</s:v>
      </s:c>
      <s:c r="D422">
        <s:v>2</s:v>
      </s:c>
      <s:c r="E422">
        <s:f>D422*3.5*70/200</s:f>
        <s:v>2.4500000000000002</s:v>
      </s:c>
    </s:row>
    <s:row r="423">
      <s:c r="A423" t="s">
        <s:v>841</s:v>
      </s:c>
      <s:c r="B423" t="s">
        <s:v>866</s:v>
      </s:c>
      <s:c r="C423" t="s">
        <s:v>867</s:v>
      </s:c>
      <s:c r="D423">
        <s:v>3.5</s:v>
      </s:c>
      <s:c r="E423">
        <s:f>D423*3.5*70/200</s:f>
        <s:v>4.2874999999999996</s:v>
      </s:c>
    </s:row>
    <s:row r="424">
      <s:c r="A424" t="s">
        <s:v>841</s:v>
      </s:c>
      <s:c r="B424" t="s">
        <s:v>868</s:v>
      </s:c>
      <s:c r="C424" t="s">
        <s:v>869</s:v>
      </s:c>
      <s:c r="D424">
        <s:v>2.5</s:v>
      </s:c>
      <s:c r="E424">
        <s:f>D424*3.5*70/200</s:f>
        <s:v>3.0625</s:v>
      </s:c>
    </s:row>
    <s:row r="425">
      <s:c r="A425" t="s">
        <s:v>841</s:v>
      </s:c>
      <s:c r="B425" t="s">
        <s:v>870</s:v>
      </s:c>
      <s:c r="C425" t="s">
        <s:v>871</s:v>
      </s:c>
      <s:c r="D425">
        <s:v>2.5</s:v>
      </s:c>
      <s:c r="E425">
        <s:f>D425*3.5*70/200</s:f>
        <s:v>3.0625</s:v>
      </s:c>
    </s:row>
    <s:row r="426">
      <s:c r="A426" t="s">
        <s:v>841</s:v>
      </s:c>
      <s:c r="B426" t="s">
        <s:v>872</s:v>
      </s:c>
      <s:c r="C426" t="s">
        <s:v>873</s:v>
      </s:c>
      <s:c r="D426">
        <s:v>1.8</s:v>
      </s:c>
      <s:c r="E426">
        <s:f>D426*3.5*70/200</s:f>
        <s:v>2.2050000000000001</s:v>
      </s:c>
    </s:row>
    <s:row r="427">
      <s:c r="A427" t="s">
        <s:v>841</s:v>
      </s:c>
      <s:c r="B427" t="s">
        <s:v>874</s:v>
      </s:c>
      <s:c r="C427" t="s">
        <s:v>875</s:v>
      </s:c>
      <s:c r="D427">
        <s:v>1.8</s:v>
      </s:c>
      <s:c r="E427">
        <s:f>D427*3.5*70/200</s:f>
        <s:v>2.2050000000000001</s:v>
      </s:c>
    </s:row>
    <s:row r="428">
      <s:c r="A428" t="s">
        <s:v>841</s:v>
      </s:c>
      <s:c r="B428" t="s">
        <s:v>876</s:v>
      </s:c>
      <s:c r="C428" t="s">
        <s:v>877</s:v>
      </s:c>
      <s:c r="D428">
        <s:v>2</s:v>
      </s:c>
      <s:c r="E428">
        <s:f>D428*3.5*70/200</s:f>
        <s:v>2.4500000000000002</s:v>
      </s:c>
    </s:row>
    <s:row r="429">
      <s:c r="A429" t="s">
        <s:v>841</s:v>
      </s:c>
      <s:c r="B429" t="s">
        <s:v>878</s:v>
      </s:c>
      <s:c r="C429" t="s">
        <s:v>879</s:v>
      </s:c>
      <s:c r="D429">
        <s:v>3</s:v>
      </s:c>
      <s:c r="E429">
        <s:f>D429*3.5*70/200</s:f>
        <s:v>3.6749999999999998</s:v>
      </s:c>
    </s:row>
    <s:row r="430">
      <s:c r="A430" t="s">
        <s:v>841</s:v>
      </s:c>
      <s:c r="B430" t="s">
        <s:v>880</s:v>
      </s:c>
      <s:c r="C430" t="s">
        <s:v>881</s:v>
      </s:c>
      <s:c r="D430">
        <s:v>4</s:v>
      </s:c>
      <s:c r="E430">
        <s:f>D430*3.5*70/200</s:f>
        <s:v>4.9000000000000004</s:v>
      </s:c>
    </s:row>
    <s:row r="431">
      <s:c r="A431" t="s">
        <s:v>841</s:v>
      </s:c>
      <s:c r="B431" t="s">
        <s:v>882</s:v>
      </s:c>
      <s:c r="C431" t="s">
        <s:v>883</s:v>
      </s:c>
      <s:c r="D431">
        <s:v>5.5</s:v>
      </s:c>
      <s:c r="E431">
        <s:f>D431*3.5*70/200</s:f>
        <s:v>6.7374999999999998</s:v>
      </s:c>
    </s:row>
    <s:row r="432">
      <s:c r="A432" t="s">
        <s:v>841</s:v>
      </s:c>
      <s:c r="B432" t="s">
        <s:v>884</s:v>
      </s:c>
      <s:c r="C432" t="s">
        <s:v>885</s:v>
      </s:c>
      <s:c r="D432">
        <s:v>3.5</s:v>
      </s:c>
      <s:c r="E432">
        <s:f>D432*3.5*70/200</s:f>
        <s:v>4.2874999999999996</s:v>
      </s:c>
    </s:row>
    <s:row r="433">
      <s:c r="A433" t="s">
        <s:v>886</s:v>
      </s:c>
      <s:c r="B433" t="s">
        <s:v>887</s:v>
      </s:c>
      <s:c r="C433" t="s">
        <s:v>888</s:v>
      </s:c>
      <s:c r="D433">
        <s:v>2</s:v>
      </s:c>
      <s:c r="E433">
        <s:f>D433*3.5*70/200</s:f>
        <s:v>2.4500000000000002</s:v>
      </s:c>
    </s:row>
    <s:row r="434">
      <s:c r="A434" t="s">
        <s:v>886</s:v>
      </s:c>
      <s:c r="B434" t="s">
        <s:v>889</s:v>
      </s:c>
      <s:c r="C434" t="s">
        <s:v>890</s:v>
      </s:c>
      <s:c r="D434">
        <s:v>3.5</s:v>
      </s:c>
      <s:c r="E434">
        <s:f>D434*3.5*70/200</s:f>
        <s:v>4.2874999999999996</s:v>
      </s:c>
    </s:row>
    <s:row r="435">
      <s:c r="A435" t="s">
        <s:v>886</s:v>
      </s:c>
      <s:c r="B435" t="s">
        <s:v>891</s:v>
      </s:c>
      <s:c r="C435" t="s">
        <s:v>892</s:v>
      </s:c>
      <s:c r="D435">
        <s:v>5.3</s:v>
      </s:c>
      <s:c r="E435">
        <s:f>D435*3.5*70/200</s:f>
        <s:v>6.4924999999999997</s:v>
      </s:c>
    </s:row>
    <s:row r="436">
      <s:c r="A436" t="s">
        <s:v>886</s:v>
      </s:c>
      <s:c r="B436" t="s">
        <s:v>893</s:v>
      </s:c>
      <s:c r="C436" t="s">
        <s:v>894</s:v>
      </s:c>
      <s:c r="D436">
        <s:v>2</s:v>
      </s:c>
      <s:c r="E436">
        <s:f>D436*3.5*70/200</s:f>
        <s:v>2.4500000000000002</s:v>
      </s:c>
    </s:row>
    <s:row r="437">
      <s:c r="A437" t="s">
        <s:v>886</s:v>
      </s:c>
      <s:c r="B437" t="s">
        <s:v>895</s:v>
      </s:c>
      <s:c r="C437" t="s">
        <s:v>896</s:v>
      </s:c>
      <s:c r="D437">
        <s:v>2.8</s:v>
      </s:c>
      <s:c r="E437">
        <s:f>D437*3.5*70/200</s:f>
        <s:v>3.4299999999999993</s:v>
      </s:c>
    </s:row>
    <s:row r="438">
      <s:c r="A438" t="s">
        <s:v>886</s:v>
      </s:c>
      <s:c r="B438" t="s">
        <s:v>897</s:v>
      </s:c>
      <s:c r="C438" t="s">
        <s:v>898</s:v>
      </s:c>
      <s:c r="D438">
        <s:v>3</s:v>
      </s:c>
      <s:c r="E438">
        <s:f>D438*3.5*70/200</s:f>
        <s:v>3.6749999999999998</s:v>
      </s:c>
    </s:row>
    <s:row r="439">
      <s:c r="A439" t="s">
        <s:v>886</s:v>
      </s:c>
      <s:c r="B439" t="s">
        <s:v>899</s:v>
      </s:c>
      <s:c r="C439" t="s">
        <s:v>900</s:v>
      </s:c>
      <s:c r="D439">
        <s:v>4.8</s:v>
      </s:c>
      <s:c r="E439">
        <s:f>D439*3.5*70/200</s:f>
        <s:v>5.88</s:v>
      </s:c>
    </s:row>
    <s:row r="440">
      <s:c r="A440" t="s">
        <s:v>886</s:v>
      </s:c>
      <s:c r="B440" t="s">
        <s:v>901</s:v>
      </s:c>
      <s:c r="C440" t="s">
        <s:v>902</s:v>
      </s:c>
      <s:c r="D440">
        <s:v>4</s:v>
      </s:c>
      <s:c r="E440">
        <s:f>D440*3.5*70/200</s:f>
        <s:v>4.9000000000000004</s:v>
      </s:c>
    </s:row>
    <s:row r="441">
      <s:c r="A441" t="s">
        <s:v>886</s:v>
      </s:c>
      <s:c r="B441" t="s">
        <s:v>903</s:v>
      </s:c>
      <s:c r="C441" t="s">
        <s:v>904</s:v>
      </s:c>
      <s:c r="D441">
        <s:v>2</s:v>
      </s:c>
      <s:c r="E441">
        <s:f>D441*3.5*70/200</s:f>
        <s:v>2.4500000000000002</s:v>
      </s:c>
    </s:row>
    <s:row r="442">
      <s:c r="A442" t="s">
        <s:v>886</s:v>
      </s:c>
      <s:c r="B442" t="s">
        <s:v>905</s:v>
      </s:c>
      <s:c r="C442" t="s">
        <s:v>906</s:v>
      </s:c>
      <s:c r="D442">
        <s:v>2.2999999999999998</s:v>
      </s:c>
      <s:c r="E442">
        <s:f>D442*3.5*70/200</s:f>
        <s:v>2.8174999999999994</s:v>
      </s:c>
    </s:row>
    <s:row r="443">
      <s:c r="A443" t="s">
        <s:v>886</s:v>
      </s:c>
      <s:c r="B443" t="s">
        <s:v>907</s:v>
      </s:c>
      <s:c r="C443" t="s">
        <s:v>908</s:v>
      </s:c>
      <s:c r="D443">
        <s:v>6</s:v>
      </s:c>
      <s:c r="E443">
        <s:f>D443*3.5*70/200</s:f>
        <s:v>7.35</s:v>
      </s:c>
    </s:row>
    <s:row r="444">
      <s:c r="A444" t="s">
        <s:v>886</s:v>
      </s:c>
      <s:c r="B444" t="s">
        <s:v>909</s:v>
      </s:c>
      <s:c r="C444" t="s">
        <s:v>910</s:v>
      </s:c>
      <s:c r="D444">
        <s:v>2</s:v>
      </s:c>
      <s:c r="E444">
        <s:f>D444*3.5*70/200</s:f>
        <s:v>2.4500000000000002</s:v>
      </s:c>
    </s:row>
    <s:row r="445">
      <s:c r="A445" t="s">
        <s:v>886</s:v>
      </s:c>
      <s:c r="B445" t="s">
        <s:v>911</s:v>
      </s:c>
      <s:c r="C445" t="s">
        <s:v>912</s:v>
      </s:c>
      <s:c r="D445">
        <s:v>2.5</s:v>
      </s:c>
      <s:c r="E445">
        <s:f>D445*3.5*70/200</s:f>
        <s:v>3.0625</s:v>
      </s:c>
    </s:row>
    <s:row r="446">
      <s:c r="A446" t="s">
        <s:v>886</s:v>
      </s:c>
      <s:c r="B446" t="s">
        <s:v>913</s:v>
      </s:c>
      <s:c r="C446" t="s">
        <s:v>914</s:v>
      </s:c>
      <s:c r="D446">
        <s:v>4.3</s:v>
      </s:c>
      <s:c r="E446">
        <s:f>D446*3.5*70/200</s:f>
        <s:v>5.2675000000000001</s:v>
      </s:c>
    </s:row>
    <s:row r="447">
      <s:c r="A447" t="s">
        <s:v>886</s:v>
      </s:c>
      <s:c r="B447" t="s">
        <s:v>915</s:v>
      </s:c>
      <s:c r="C447" t="s">
        <s:v>916</s:v>
      </s:c>
      <s:c r="D447">
        <s:v>7</s:v>
      </s:c>
      <s:c r="E447">
        <s:f>D447*3.5*70/200</s:f>
        <s:v>8.5749999999999993</s:v>
      </s:c>
    </s:row>
    <s:row r="448">
      <s:c r="A448" t="s">
        <s:v>886</s:v>
      </s:c>
      <s:c r="B448" t="s">
        <s:v>917</s:v>
      </s:c>
      <s:c r="C448" t="s">
        <s:v>918</s:v>
      </s:c>
      <s:c r="D448">
        <s:v>8</s:v>
      </s:c>
      <s:c r="E448">
        <s:f>D448*3.5*70/200</s:f>
        <s:v>9.8000000000000007</s:v>
      </s:c>
    </s:row>
    <s:row r="449">
      <s:c r="A449" t="s">
        <s:v>886</s:v>
      </s:c>
      <s:c r="B449" t="s">
        <s:v>919</s:v>
      </s:c>
      <s:c r="C449" t="s">
        <s:v>920</s:v>
      </s:c>
      <s:c r="D449">
        <s:v>8</s:v>
      </s:c>
      <s:c r="E449">
        <s:f>D449*3.5*70/200</s:f>
        <s:v>9.8000000000000007</s:v>
      </s:c>
    </s:row>
    <s:row r="450">
      <s:c r="A450" t="s">
        <s:v>886</s:v>
      </s:c>
      <s:c r="B450" t="s">
        <s:v>921</s:v>
      </s:c>
      <s:c r="C450" t="s">
        <s:v>922</s:v>
      </s:c>
      <s:c r="D450">
        <s:v>4</s:v>
      </s:c>
      <s:c r="E450">
        <s:f>D450*3.5*70/200</s:f>
        <s:v>4.9000000000000004</s:v>
      </s:c>
    </s:row>
    <s:row r="451">
      <s:c r="A451" t="s">
        <s:v>886</s:v>
      </s:c>
      <s:c r="B451" t="s">
        <s:v>923</s:v>
      </s:c>
      <s:c r="C451" t="s">
        <s:v>924</s:v>
      </s:c>
      <s:c r="D451">
        <s:v>4.3</s:v>
      </s:c>
      <s:c r="E451">
        <s:f>D451*3.5*70/200</s:f>
        <s:v>5.2675000000000001</s:v>
      </s:c>
    </s:row>
    <s:row r="452">
      <s:c r="A452" t="s">
        <s:v>886</s:v>
      </s:c>
      <s:c r="B452" t="s">
        <s:v>925</s:v>
      </s:c>
      <s:c r="C452" t="s">
        <s:v>926</s:v>
      </s:c>
      <s:c r="D452">
        <s:v>5.3</s:v>
      </s:c>
      <s:c r="E452">
        <s:f>D452*3.5*70/200</s:f>
        <s:v>6.4924999999999997</s:v>
      </s:c>
    </s:row>
    <s:row r="453">
      <s:c r="A453" t="s">
        <s:v>886</s:v>
      </s:c>
      <s:c r="B453" t="s">
        <s:v>927</s:v>
      </s:c>
      <s:c r="C453" t="s">
        <s:v>928</s:v>
      </s:c>
      <s:c r="D453">
        <s:v>5</s:v>
      </s:c>
      <s:c r="E453">
        <s:f>D453*3.5*70/200</s:f>
        <s:v>6.125</s:v>
      </s:c>
    </s:row>
    <s:row r="454">
      <s:c r="A454" t="s">
        <s:v>886</s:v>
      </s:c>
      <s:c r="B454" t="s">
        <s:v>929</s:v>
      </s:c>
      <s:c r="C454" t="s">
        <s:v>930</s:v>
      </s:c>
      <s:c r="D454">
        <s:v>5.5</s:v>
      </s:c>
      <s:c r="E454">
        <s:f>D454*3.5*70/200</s:f>
        <s:v>6.7374999999999998</s:v>
      </s:c>
    </s:row>
    <s:row r="455">
      <s:c r="A455" t="s">
        <s:v>886</s:v>
      </s:c>
      <s:c r="B455" t="s">
        <s:v>931</s:v>
      </s:c>
      <s:c r="C455" t="s">
        <s:v>932</s:v>
      </s:c>
      <s:c r="D455">
        <s:v>6.3</s:v>
      </s:c>
      <s:c r="E455">
        <s:f>D455*3.5*70/200</s:f>
        <s:v>7.7175000000000002</s:v>
      </s:c>
    </s:row>
    <s:row r="456">
      <s:c r="A456" t="s">
        <s:v>886</s:v>
      </s:c>
      <s:c r="B456" t="s">
        <s:v>933</s:v>
      </s:c>
      <s:c r="C456" t="s">
        <s:v>934</s:v>
      </s:c>
      <s:c r="D456">
        <s:v>2.5</s:v>
      </s:c>
      <s:c r="E456">
        <s:f>D456*3.5*70/200</s:f>
        <s:v>3.0625</s:v>
      </s:c>
    </s:row>
    <s:row r="457">
      <s:c r="A457" t="s">
        <s:v>886</s:v>
      </s:c>
      <s:c r="B457" t="s">
        <s:v>935</s:v>
      </s:c>
      <s:c r="C457" t="s">
        <s:v>936</s:v>
      </s:c>
      <s:c r="D457">
        <s:v>4</s:v>
      </s:c>
      <s:c r="E457">
        <s:f>D457*3.5*70/200</s:f>
        <s:v>4.9000000000000004</s:v>
      </s:c>
    </s:row>
    <s:row r="458">
      <s:c r="A458" t="s">
        <s:v>886</s:v>
      </s:c>
      <s:c r="B458" t="s">
        <s:v>937</s:v>
      </s:c>
      <s:c r="C458" t="s">
        <s:v>938</s:v>
      </s:c>
      <s:c r="D458">
        <s:v>2.2999999999999998</s:v>
      </s:c>
      <s:c r="E458">
        <s:f>D458*3.5*70/200</s:f>
        <s:v>2.8174999999999994</s:v>
      </s:c>
    </s:row>
    <s:row r="459">
      <s:c r="A459" t="s">
        <s:v>886</s:v>
      </s:c>
      <s:c r="B459" t="s">
        <s:v>939</s:v>
      </s:c>
      <s:c r="C459" t="s">
        <s:v>940</s:v>
      </s:c>
      <s:c r="D459">
        <s:v>2.2999999999999998</s:v>
      </s:c>
      <s:c r="E459">
        <s:f>D459*3.5*70/200</s:f>
        <s:v>2.8174999999999994</s:v>
      </s:c>
    </s:row>
    <s:row r="460">
      <s:c r="A460" t="s">
        <s:v>886</s:v>
      </s:c>
      <s:c r="B460" t="s">
        <s:v>941</s:v>
      </s:c>
      <s:c r="C460" t="s">
        <s:v>942</s:v>
      </s:c>
      <s:c r="D460">
        <s:v>3.8</s:v>
      </s:c>
      <s:c r="E460">
        <s:f>D460*3.5*70/200</s:f>
        <s:v>4.6549999999999994</s:v>
      </s:c>
    </s:row>
    <s:row r="461">
      <s:c r="A461" t="s">
        <s:v>886</s:v>
      </s:c>
      <s:c r="B461" t="s">
        <s:v>943</s:v>
      </s:c>
      <s:c r="C461" t="s">
        <s:v>944</s:v>
      </s:c>
      <s:c r="D461">
        <s:v>3.3</s:v>
      </s:c>
      <s:c r="E461">
        <s:f>D461*3.5*70/200</s:f>
        <s:v>4.0424999999999995</s:v>
      </s:c>
    </s:row>
    <s:row r="462">
      <s:c r="A462" t="s">
        <s:v>886</s:v>
      </s:c>
      <s:c r="B462" t="s">
        <s:v>945</s:v>
      </s:c>
      <s:c r="C462" t="s">
        <s:v>946</s:v>
      </s:c>
      <s:c r="D462">
        <s:v>1.8</s:v>
      </s:c>
      <s:c r="E462">
        <s:f>D462*3.5*70/200</s:f>
        <s:v>2.2050000000000001</s:v>
      </s:c>
    </s:row>
    <s:row r="463">
      <s:c r="A463" t="s">
        <s:v>886</s:v>
      </s:c>
      <s:c r="B463" t="s">
        <s:v>947</s:v>
      </s:c>
      <s:c r="C463" t="s">
        <s:v>948</s:v>
      </s:c>
      <s:c r="D463">
        <s:v>7.8</s:v>
      </s:c>
      <s:c r="E463">
        <s:f>D463*3.5*70/200</s:f>
        <s:v>9.5549999999999997</s:v>
      </s:c>
    </s:row>
    <s:row r="464">
      <s:c r="A464" t="s">
        <s:v>886</s:v>
      </s:c>
      <s:c r="B464" t="s">
        <s:v>949</s:v>
      </s:c>
      <s:c r="C464" t="s">
        <s:v>950</s:v>
      </s:c>
      <s:c r="D464">
        <s:v>4.8</s:v>
      </s:c>
      <s:c r="E464">
        <s:f>D464*3.5*70/200</s:f>
        <s:v>5.88</s:v>
      </s:c>
    </s:row>
    <s:row r="465">
      <s:c r="A465" t="s">
        <s:v>886</s:v>
      </s:c>
      <s:c r="B465" t="s">
        <s:v>951</s:v>
      </s:c>
      <s:c r="C465" t="s">
        <s:v>952</s:v>
      </s:c>
      <s:c r="D465">
        <s:v>2</s:v>
      </s:c>
      <s:c r="E465">
        <s:f>D465*3.5*70/200</s:f>
        <s:v>2.4500000000000002</s:v>
      </s:c>
    </s:row>
    <s:row r="466">
      <s:c r="A466" t="s">
        <s:v>886</s:v>
      </s:c>
      <s:c r="B466" t="s">
        <s:v>953</s:v>
      </s:c>
      <s:c r="C466" t="s">
        <s:v>954</s:v>
      </s:c>
      <s:c r="D466">
        <s:v>2.8</s:v>
      </s:c>
      <s:c r="E466">
        <s:f>D466*3.5*70/200</s:f>
        <s:v>3.4299999999999993</s:v>
      </s:c>
    </s:row>
    <s:row r="467">
      <s:c r="A467" t="s">
        <s:v>886</s:v>
      </s:c>
      <s:c r="B467" t="s">
        <s:v>955</s:v>
      </s:c>
      <s:c r="C467" t="s">
        <s:v>956</s:v>
      </s:c>
      <s:c r="D467">
        <s:v>3.5</s:v>
      </s:c>
      <s:c r="E467">
        <s:f>D467*3.5*70/200</s:f>
        <s:v>4.2874999999999996</s:v>
      </s:c>
    </s:row>
    <s:row r="468">
      <s:c r="A468" t="s">
        <s:v>886</s:v>
      </s:c>
      <s:c r="B468" t="s">
        <s:v>957</s:v>
      </s:c>
      <s:c r="C468" t="s">
        <s:v>958</s:v>
      </s:c>
      <s:c r="D468">
        <s:v>4.3</s:v>
      </s:c>
      <s:c r="E468">
        <s:f>D468*3.5*70/200</s:f>
        <s:v>5.2675000000000001</s:v>
      </s:c>
    </s:row>
    <s:row r="469">
      <s:c r="A469" t="s">
        <s:v>886</s:v>
      </s:c>
      <s:c r="B469" t="s">
        <s:v>959</s:v>
      </s:c>
      <s:c r="C469" t="s">
        <s:v>960</s:v>
      </s:c>
      <s:c r="D469">
        <s:v>4.3</s:v>
      </s:c>
      <s:c r="E469">
        <s:f>D469*3.5*70/200</s:f>
        <s:v>5.2675000000000001</s:v>
      </s:c>
    </s:row>
    <s:row r="470">
      <s:c r="A470" t="s">
        <s:v>886</s:v>
      </s:c>
      <s:c r="B470" t="s">
        <s:v>961</s:v>
      </s:c>
      <s:c r="C470" t="s">
        <s:v>962</s:v>
      </s:c>
      <s:c r="D470">
        <s:v>4.5</s:v>
      </s:c>
      <s:c r="E470">
        <s:f>D470*3.5*70/200</s:f>
        <s:v>5.5125000000000002</s:v>
      </s:c>
    </s:row>
    <s:row r="471">
      <s:c r="A471" t="s">
        <s:v>886</s:v>
      </s:c>
      <s:c r="B471" t="s">
        <s:v>963</s:v>
      </s:c>
      <s:c r="C471" t="s">
        <s:v>964</s:v>
      </s:c>
      <s:c r="D471">
        <s:v>3.8</s:v>
      </s:c>
      <s:c r="E471">
        <s:f>D471*3.5*70/200</s:f>
        <s:v>4.6549999999999994</s:v>
      </s:c>
    </s:row>
    <s:row r="472">
      <s:c r="A472" t="s">
        <s:v>886</s:v>
      </s:c>
      <s:c r="B472" t="s">
        <s:v>965</s:v>
      </s:c>
      <s:c r="C472" t="s">
        <s:v>966</s:v>
      </s:c>
      <s:c r="D472">
        <s:v>3.5</s:v>
      </s:c>
      <s:c r="E472">
        <s:f>D472*3.5*70/200</s:f>
        <s:v>4.2874999999999996</s:v>
      </s:c>
    </s:row>
    <s:row r="473">
      <s:c r="A473" t="s">
        <s:v>886</s:v>
      </s:c>
      <s:c r="B473" t="s">
        <s:v>967</s:v>
      </s:c>
      <s:c r="C473" t="s">
        <s:v>968</s:v>
      </s:c>
      <s:c r="D473">
        <s:v>1.3</s:v>
      </s:c>
      <s:c r="E473">
        <s:f>D473*3.5*70/200</s:f>
        <s:v>1.5925</s:v>
      </s:c>
    </s:row>
    <s:row r="474">
      <s:c r="A474" t="s">
        <s:v>886</s:v>
      </s:c>
      <s:c r="B474" t="s">
        <s:v>969</s:v>
      </s:c>
      <s:c r="C474" t="s">
        <s:v>970</s:v>
      </s:c>
      <s:c r="D474">
        <s:v>3</s:v>
      </s:c>
      <s:c r="E474">
        <s:f>D474*3.5*70/200</s:f>
        <s:v>3.6749999999999998</s:v>
      </s:c>
    </s:row>
    <s:row r="475">
      <s:c r="A475" t="s">
        <s:v>886</s:v>
      </s:c>
      <s:c r="B475" t="s">
        <s:v>971</s:v>
      </s:c>
      <s:c r="C475" t="s">
        <s:v>972</s:v>
      </s:c>
      <s:c r="D475">
        <s:v>8</s:v>
      </s:c>
      <s:c r="E475">
        <s:f>D475*3.5*70/200</s:f>
        <s:v>9.8000000000000007</s:v>
      </s:c>
    </s:row>
    <s:row r="476">
      <s:c r="A476" t="s">
        <s:v>886</s:v>
      </s:c>
      <s:c r="B476" t="s">
        <s:v>973</s:v>
      </s:c>
      <s:c r="C476" t="s">
        <s:v>974</s:v>
      </s:c>
      <s:c r="D476">
        <s:v>6.8</s:v>
      </s:c>
      <s:c r="E476">
        <s:f>D476*3.5*70/200</s:f>
        <s:v>8.33</s:v>
      </s:c>
    </s:row>
    <s:row r="477">
      <s:c r="A477" t="s">
        <s:v>886</s:v>
      </s:c>
      <s:c r="B477" t="s">
        <s:v>975</s:v>
      </s:c>
      <s:c r="C477" t="s">
        <s:v>976</s:v>
      </s:c>
      <s:c r="D477">
        <s:v>8</s:v>
      </s:c>
      <s:c r="E477">
        <s:f>D477*3.5*70/200</s:f>
        <s:v>9.8000000000000007</s:v>
      </s:c>
    </s:row>
    <s:row r="478">
      <s:c r="A478" t="s">
        <s:v>886</s:v>
      </s:c>
      <s:c r="B478" t="s">
        <s:v>977</s:v>
      </s:c>
      <s:c r="C478" t="s">
        <s:v>978</s:v>
      </s:c>
      <s:c r="D478">
        <s:v>9</s:v>
      </s:c>
      <s:c r="E478">
        <s:f>D478*3.5*70/200</s:f>
        <s:v>11.025</s:v>
      </s:c>
    </s:row>
    <s:row r="479">
      <s:c r="A479" t="s">
        <s:v>886</s:v>
      </s:c>
      <s:c r="B479" t="s">
        <s:v>979</s:v>
      </s:c>
      <s:c r="C479" t="s">
        <s:v>980</s:v>
      </s:c>
      <s:c r="D479">
        <s:v>3.5</s:v>
      </s:c>
      <s:c r="E479">
        <s:f>D479*3.5*70/200</s:f>
        <s:v>4.2874999999999996</s:v>
      </s:c>
    </s:row>
    <s:row r="480">
      <s:c r="A480" t="s">
        <s:v>886</s:v>
      </s:c>
      <s:c r="B480" t="s">
        <s:v>981</s:v>
      </s:c>
      <s:c r="C480" t="s">
        <s:v>982</s:v>
      </s:c>
      <s:c r="D480">
        <s:v>5</s:v>
      </s:c>
      <s:c r="E480">
        <s:f>D480*3.5*70/200</s:f>
        <s:v>6.125</s:v>
      </s:c>
    </s:row>
    <s:row r="481">
      <s:c r="A481" t="s">
        <s:v>886</s:v>
      </s:c>
      <s:c r="B481" t="s">
        <s:v>983</s:v>
      </s:c>
      <s:c r="C481" t="s">
        <s:v>984</s:v>
      </s:c>
      <s:c r="D481">
        <s:v>17.5</s:v>
      </s:c>
      <s:c r="E481">
        <s:f>D481*3.5*70/200</s:f>
        <s:v>21.4375</s:v>
      </s:c>
    </s:row>
    <s:row r="482">
      <s:c r="A482" t="s">
        <s:v>886</s:v>
      </s:c>
      <s:c r="B482" t="s">
        <s:v>985</s:v>
      </s:c>
      <s:c r="C482" t="s">
        <s:v>986</s:v>
      </s:c>
      <s:c r="D482">
        <s:v>5</s:v>
      </s:c>
      <s:c r="E482">
        <s:f>D482*3.5*70/200</s:f>
        <s:v>6.125</s:v>
      </s:c>
    </s:row>
    <s:row r="483">
      <s:c r="A483" t="s">
        <s:v>886</s:v>
      </s:c>
      <s:c r="B483" t="s">
        <s:v>987</s:v>
      </s:c>
      <s:c r="C483" t="s">
        <s:v>988</s:v>
      </s:c>
      <s:c r="D483">
        <s:v>8</s:v>
      </s:c>
      <s:c r="E483">
        <s:f>D483*3.5*70/200</s:f>
        <s:v>9.8000000000000007</s:v>
      </s:c>
    </s:row>
    <s:row r="484">
      <s:c r="A484" t="s">
        <s:v>886</s:v>
      </s:c>
      <s:c r="B484" t="s">
        <s:v>989</s:v>
      </s:c>
      <s:c r="C484" t="s">
        <s:v>990</s:v>
      </s:c>
      <s:c r="D484">
        <s:v>5</s:v>
      </s:c>
      <s:c r="E484">
        <s:f>D484*3.5*70/200</s:f>
        <s:v>6.125</s:v>
      </s:c>
    </s:row>
    <s:row r="485">
      <s:c r="A485" t="s">
        <s:v>886</s:v>
      </s:c>
      <s:c r="B485" t="s">
        <s:v>991</s:v>
      </s:c>
      <s:c r="C485" t="s">
        <s:v>992</s:v>
      </s:c>
      <s:c r="D485">
        <s:v>8.5</s:v>
      </s:c>
      <s:c r="E485">
        <s:f>D485*3.5*70/200</s:f>
        <s:v>10.4125</s:v>
      </s:c>
    </s:row>
    <s:row r="486">
      <s:c r="A486" t="s">
        <s:v>886</s:v>
      </s:c>
      <s:c r="B486" t="s">
        <s:v>993</s:v>
      </s:c>
      <s:c r="C486" t="s">
        <s:v>994</s:v>
      </s:c>
      <s:c r="D486">
        <s:v>4.8</s:v>
      </s:c>
      <s:c r="E486">
        <s:f>D486*3.5*70/200</s:f>
        <s:v>5.88</s:v>
      </s:c>
    </s:row>
    <s:row r="487">
      <s:c r="A487" t="s">
        <s:v>886</s:v>
      </s:c>
      <s:c r="B487" t="s">
        <s:v>995</s:v>
      </s:c>
      <s:c r="C487" t="s">
        <s:v>996</s:v>
      </s:c>
      <s:c r="D487">
        <s:v>3.8</s:v>
      </s:c>
      <s:c r="E487">
        <s:f>D487*3.5*70/200</s:f>
        <s:v>4.6549999999999994</s:v>
      </s:c>
    </s:row>
    <s:row r="488">
      <s:c r="A488" t="s">
        <s:v>886</s:v>
      </s:c>
      <s:c r="B488" t="s">
        <s:v>997</s:v>
      </s:c>
      <s:c r="C488" t="s">
        <s:v>998</s:v>
      </s:c>
      <s:c r="D488">
        <s:v>1.8</s:v>
      </s:c>
      <s:c r="E488">
        <s:f>D488*3.5*70/200</s:f>
        <s:v>2.2050000000000001</s:v>
      </s:c>
    </s:row>
    <s:row r="489">
      <s:c r="A489" t="s">
        <s:v>886</s:v>
      </s:c>
      <s:c r="B489" t="s">
        <s:v>999</s:v>
      </s:c>
      <s:c r="C489" t="s">
        <s:v>1000</s:v>
      </s:c>
      <s:c r="D489">
        <s:v>7.3</s:v>
      </s:c>
      <s:c r="E489">
        <s:f>D489*3.5*70/200</s:f>
        <s:v>8.9425000000000008</s:v>
      </s:c>
    </s:row>
    <s:row r="490">
      <s:c r="A490" t="s">
        <s:v>886</s:v>
      </s:c>
      <s:c r="B490" t="s">
        <s:v>1001</s:v>
      </s:c>
      <s:c r="C490" t="s">
        <s:v>1002</s:v>
      </s:c>
      <s:c r="D490">
        <s:v>4.3</s:v>
      </s:c>
      <s:c r="E490">
        <s:f>D490*3.5*70/200</s:f>
        <s:v>5.2675000000000001</s:v>
      </s:c>
    </s:row>
    <s:row r="491">
      <s:c r="A491" t="s">
        <s:v>886</s:v>
      </s:c>
      <s:c r="B491" t="s">
        <s:v>1003</s:v>
      </s:c>
      <s:c r="C491" t="s">
        <s:v>1004</s:v>
      </s:c>
      <s:c r="D491">
        <s:v>4.5</s:v>
      </s:c>
      <s:c r="E491">
        <s:f>D491*3.5*70/200</s:f>
        <s:v>5.5125000000000002</s:v>
      </s:c>
    </s:row>
    <s:row r="492">
      <s:c r="A492" t="s">
        <s:v>886</s:v>
      </s:c>
      <s:c r="B492" t="s">
        <s:v>1005</s:v>
      </s:c>
      <s:c r="C492" t="s">
        <s:v>1006</s:v>
      </s:c>
      <s:c r="D492">
        <s:v>7.8</s:v>
      </s:c>
      <s:c r="E492">
        <s:f>D492*3.5*70/200</s:f>
        <s:v>9.5549999999999997</s:v>
      </s:c>
    </s:row>
    <s:row r="493">
      <s:c r="A493" t="s">
        <s:v>886</s:v>
      </s:c>
      <s:c r="B493" t="s">
        <s:v>1007</s:v>
      </s:c>
      <s:c r="C493" t="s">
        <s:v>1008</s:v>
      </s:c>
      <s:c r="D493">
        <s:v>6.3</s:v>
      </s:c>
      <s:c r="E493">
        <s:f>D493*3.5*70/200</s:f>
        <s:v>7.7175000000000002</s:v>
      </s:c>
    </s:row>
    <s:row r="494">
      <s:c r="A494" t="s">
        <s:v>886</s:v>
      </s:c>
      <s:c r="B494" t="s">
        <s:v>1009</s:v>
      </s:c>
      <s:c r="C494" t="s">
        <s:v>1010</s:v>
      </s:c>
      <s:c r="D494">
        <s:v>2.2999999999999998</s:v>
      </s:c>
      <s:c r="E494">
        <s:f>D494*3.5*70/200</s:f>
        <s:v>2.8174999999999994</s:v>
      </s:c>
    </s:row>
    <s:row r="495">
      <s:c r="A495" t="s">
        <s:v>886</s:v>
      </s:c>
      <s:c r="B495" t="s">
        <s:v>1011</s:v>
      </s:c>
      <s:c r="C495" t="s">
        <s:v>1012</s:v>
      </s:c>
      <s:c r="D495">
        <s:v>3</s:v>
      </s:c>
      <s:c r="E495">
        <s:f>D495*3.5*70/200</s:f>
        <s:v>3.6749999999999998</s:v>
      </s:c>
    </s:row>
    <s:row r="496">
      <s:c r="A496" t="s">
        <s:v>886</s:v>
      </s:c>
      <s:c r="B496" t="s">
        <s:v>1013</s:v>
      </s:c>
      <s:c r="C496" t="s">
        <s:v>1014</s:v>
      </s:c>
      <s:c r="D496">
        <s:v>4</s:v>
      </s:c>
      <s:c r="E496">
        <s:f>D496*3.5*70/200</s:f>
        <s:v>4.9000000000000004</s:v>
      </s:c>
    </s:row>
    <s:row r="497">
      <s:c r="A497" t="s">
        <s:v>886</s:v>
      </s:c>
      <s:c r="B497" t="s">
        <s:v>1015</s:v>
      </s:c>
      <s:c r="C497" t="s">
        <s:v>1016</s:v>
      </s:c>
      <s:c r="D497">
        <s:v>3</s:v>
      </s:c>
      <s:c r="E497">
        <s:f>D497*3.5*70/200</s:f>
        <s:v>3.6749999999999998</s:v>
      </s:c>
    </s:row>
    <s:row r="498">
      <s:c r="A498" t="s">
        <s:v>886</s:v>
      </s:c>
      <s:c r="B498" t="s">
        <s:v>1017</s:v>
      </s:c>
      <s:c r="C498" t="s">
        <s:v>1018</s:v>
      </s:c>
      <s:c r="D498">
        <s:v>3.3</s:v>
      </s:c>
      <s:c r="E498">
        <s:f>D498*3.5*70/200</s:f>
        <s:v>4.0424999999999995</s:v>
      </s:c>
    </s:row>
    <s:row r="499">
      <s:c r="A499" t="s">
        <s:v>886</s:v>
      </s:c>
      <s:c r="B499" t="s">
        <s:v>1019</s:v>
      </s:c>
      <s:c r="C499" t="s">
        <s:v>1020</s:v>
      </s:c>
      <s:c r="D499">
        <s:v>3</s:v>
      </s:c>
      <s:c r="E499">
        <s:f>D499*3.5*70/200</s:f>
        <s:v>3.6749999999999998</s:v>
      </s:c>
    </s:row>
    <s:row r="500">
      <s:c r="A500" t="s">
        <s:v>886</s:v>
      </s:c>
      <s:c r="B500" t="s">
        <s:v>1021</s:v>
      </s:c>
      <s:c r="C500" t="s">
        <s:v>1022</s:v>
      </s:c>
      <s:c r="D500">
        <s:v>3</s:v>
      </s:c>
      <s:c r="E500">
        <s:f>D500*3.5*70/200</s:f>
        <s:v>3.6749999999999998</s:v>
      </s:c>
    </s:row>
    <s:row r="501">
      <s:c r="A501" t="s">
        <s:v>886</s:v>
      </s:c>
      <s:c r="B501" t="s">
        <s:v>1023</s:v>
      </s:c>
      <s:c r="C501" t="s">
        <s:v>1024</s:v>
      </s:c>
      <s:c r="D501">
        <s:v>5</s:v>
      </s:c>
      <s:c r="E501">
        <s:f>D501*3.5*70/200</s:f>
        <s:v>6.125</s:v>
      </s:c>
    </s:row>
    <s:row r="502">
      <s:c r="A502" t="s">
        <s:v>886</s:v>
      </s:c>
      <s:c r="B502" t="s">
        <s:v>1025</s:v>
      </s:c>
      <s:c r="C502" t="s">
        <s:v>1026</s:v>
      </s:c>
      <s:c r="D502">
        <s:v>1.8</s:v>
      </s:c>
      <s:c r="E502">
        <s:f>D502*3.5*70/200</s:f>
        <s:v>2.2050000000000001</s:v>
      </s:c>
    </s:row>
    <s:row r="503">
      <s:c r="A503" t="s">
        <s:v>886</s:v>
      </s:c>
      <s:c r="B503" t="s">
        <s:v>1027</s:v>
      </s:c>
      <s:c r="C503" t="s">
        <s:v>1028</s:v>
      </s:c>
      <s:c r="D503">
        <s:v>2.8</s:v>
      </s:c>
      <s:c r="E503">
        <s:f>D503*3.5*70/200</s:f>
        <s:v>3.4299999999999993</s:v>
      </s:c>
    </s:row>
    <s:row r="504">
      <s:c r="A504" t="s">
        <s:v>886</s:v>
      </s:c>
      <s:c r="B504" t="s">
        <s:v>1029</s:v>
      </s:c>
      <s:c r="C504" t="s">
        <s:v>1030</s:v>
      </s:c>
      <s:c r="D504">
        <s:v>4.5</s:v>
      </s:c>
      <s:c r="E504">
        <s:f>D504*3.5*70/200</s:f>
        <s:v>5.5125000000000002</s:v>
      </s:c>
    </s:row>
    <s:row r="505">
      <s:c r="A505" t="s">
        <s:v>886</s:v>
      </s:c>
      <s:c r="B505" t="s">
        <s:v>1031</s:v>
      </s:c>
      <s:c r="C505" t="s">
        <s:v>1032</s:v>
      </s:c>
      <s:c r="D505">
        <s:v>6.5</s:v>
      </s:c>
      <s:c r="E505">
        <s:f>D505*3.5*70/200</s:f>
        <s:v>7.9625000000000004</s:v>
      </s:c>
    </s:row>
    <s:row r="506">
      <s:c r="A506" t="s">
        <s:v>886</s:v>
      </s:c>
      <s:c r="B506" t="s">
        <s:v>1033</s:v>
      </s:c>
      <s:c r="C506" t="s">
        <s:v>1034</s:v>
      </s:c>
      <s:c r="D506">
        <s:v>4.3</s:v>
      </s:c>
      <s:c r="E506">
        <s:f>D506*3.5*70/200</s:f>
        <s:v>5.2675000000000001</s:v>
      </s:c>
    </s:row>
    <s:row r="507">
      <s:c r="A507" t="s">
        <s:v>886</s:v>
      </s:c>
      <s:c r="B507" t="s">
        <s:v>1035</s:v>
      </s:c>
      <s:c r="C507" t="s">
        <s:v>1036</s:v>
      </s:c>
      <s:c r="D507">
        <s:v>2.5</s:v>
      </s:c>
      <s:c r="E507">
        <s:f>D507*3.5*70/200</s:f>
        <s:v>3.0625</s:v>
      </s:c>
    </s:row>
    <s:row r="508">
      <s:c r="A508" t="s">
        <s:v>886</s:v>
      </s:c>
      <s:c r="B508" t="s">
        <s:v>1037</s:v>
      </s:c>
      <s:c r="C508" t="s">
        <s:v>1038</s:v>
      </s:c>
      <s:c r="D508">
        <s:v>5.5</s:v>
      </s:c>
      <s:c r="E508">
        <s:f>D508*3.5*70/200</s:f>
        <s:v>6.7374999999999998</s:v>
      </s:c>
    </s:row>
    <s:row r="509">
      <s:c r="A509" t="s">
        <s:v>886</s:v>
      </s:c>
      <s:c r="B509" t="s">
        <s:v>1039</s:v>
      </s:c>
      <s:c r="C509" t="s">
        <s:v>1040</s:v>
      </s:c>
      <s:c r="D509">
        <s:v>2.2999999999999998</s:v>
      </s:c>
      <s:c r="E509">
        <s:f>D509*3.5*70/200</s:f>
        <s:v>2.8174999999999994</s:v>
      </s:c>
    </s:row>
    <s:row r="510">
      <s:c r="A510" t="s">
        <s:v>886</s:v>
      </s:c>
      <s:c r="B510" t="s">
        <s:v>1041</s:v>
      </s:c>
      <s:c r="C510" t="s">
        <s:v>1042</s:v>
      </s:c>
      <s:c r="D510">
        <s:v>1.5</s:v>
      </s:c>
      <s:c r="E510">
        <s:f>D510*3.5*70/200</s:f>
        <s:v>1.8374999999999999</s:v>
      </s:c>
    </s:row>
    <s:row r="511">
      <s:c r="A511" t="s">
        <s:v>886</s:v>
      </s:c>
      <s:c r="B511" t="s">
        <s:v>1043</s:v>
      </s:c>
      <s:c r="C511" t="s">
        <s:v>1044</s:v>
      </s:c>
      <s:c r="D511">
        <s:v>3.5</s:v>
      </s:c>
      <s:c r="E511">
        <s:f>D511*3.5*70/200</s:f>
        <s:v>4.2874999999999996</s:v>
      </s:c>
    </s:row>
    <s:row r="512">
      <s:c r="A512" t="s">
        <s:v>886</s:v>
      </s:c>
      <s:c r="B512" t="s">
        <s:v>1045</s:v>
      </s:c>
      <s:c r="C512" t="s">
        <s:v>1046</s:v>
      </s:c>
      <s:c r="D512">
        <s:v>7.5</s:v>
      </s:c>
      <s:c r="E512">
        <s:f>D512*3.5*70/200</s:f>
        <s:v>9.1875</s:v>
      </s:c>
    </s:row>
    <s:row r="513">
      <s:c r="A513" t="s">
        <s:v>886</s:v>
      </s:c>
      <s:c r="B513" t="s">
        <s:v>1047</s:v>
      </s:c>
      <s:c r="C513" t="s">
        <s:v>1048</s:v>
      </s:c>
      <s:c r="D513">
        <s:v>8.5</s:v>
      </s:c>
      <s:c r="E513">
        <s:f>D513*3.5*70/200</s:f>
        <s:v>10.4125</s:v>
      </s:c>
    </s:row>
    <s:row r="514">
      <s:c r="A514" t="s">
        <s:v>886</s:v>
      </s:c>
      <s:c r="B514" t="s">
        <s:v>1049</s:v>
      </s:c>
      <s:c r="C514" t="s">
        <s:v>1050</s:v>
      </s:c>
      <s:c r="D514">
        <s:v>12</s:v>
      </s:c>
      <s:c r="E514">
        <s:f>D514*3.5*70/200</s:f>
        <s:v>14.7</s:v>
      </s:c>
    </s:row>
    <s:row r="515">
      <s:c r="A515" t="s">
        <s:v>886</s:v>
      </s:c>
      <s:c r="B515" t="s">
        <s:v>1051</s:v>
      </s:c>
      <s:c r="C515" t="s">
        <s:v>1052</s:v>
      </s:c>
      <s:c r="D515">
        <s:v>2.5</s:v>
      </s:c>
      <s:c r="E515">
        <s:f>D515*3.5*70/200</s:f>
        <s:v>3.0625</s:v>
      </s:c>
    </s:row>
    <s:row r="516">
      <s:c r="A516" t="s">
        <s:v>886</s:v>
      </s:c>
      <s:c r="B516" t="s">
        <s:v>1053</s:v>
      </s:c>
      <s:c r="C516" t="s">
        <s:v>1054</s:v>
      </s:c>
      <s:c r="D516">
        <s:v>3.5</s:v>
      </s:c>
      <s:c r="E516">
        <s:f>D516*3.5*70/200</s:f>
        <s:v>4.2874999999999996</s:v>
      </s:c>
    </s:row>
    <s:row r="517">
      <s:c r="A517" t="s">
        <s:v>886</s:v>
      </s:c>
      <s:c r="B517" t="s">
        <s:v>1055</s:v>
      </s:c>
      <s:c r="C517" t="s">
        <s:v>1056</s:v>
      </s:c>
      <s:c r="D517">
        <s:v>3.3</s:v>
      </s:c>
      <s:c r="E517">
        <s:f>D517*3.5*70/200</s:f>
        <s:v>4.0424999999999995</s:v>
      </s:c>
    </s:row>
    <s:row r="518">
      <s:c r="A518" t="s">
        <s:v>886</s:v>
      </s:c>
      <s:c r="B518" t="s">
        <s:v>1057</s:v>
      </s:c>
      <s:c r="C518" t="s">
        <s:v>1058</s:v>
      </s:c>
      <s:c r="D518">
        <s:v>3</s:v>
      </s:c>
      <s:c r="E518">
        <s:f>D518*3.5*70/200</s:f>
        <s:v>3.6749999999999998</s:v>
      </s:c>
    </s:row>
    <s:row r="519">
      <s:c r="A519" t="s">
        <s:v>886</s:v>
      </s:c>
      <s:c r="B519" t="s">
        <s:v>1059</s:v>
      </s:c>
      <s:c r="C519" t="s">
        <s:v>1060</s:v>
      </s:c>
      <s:c r="D519">
        <s:v>2</s:v>
      </s:c>
      <s:c r="E519">
        <s:f>D519*3.5*70/200</s:f>
        <s:v>2.4500000000000002</s:v>
      </s:c>
    </s:row>
    <s:row r="520">
      <s:c r="A520" t="s">
        <s:v>886</s:v>
      </s:c>
      <s:c r="B520" t="s">
        <s:v>1061</s:v>
      </s:c>
      <s:c r="C520" t="s">
        <s:v>1062</s:v>
      </s:c>
      <s:c r="D520">
        <s:v>3.8</s:v>
      </s:c>
      <s:c r="E520">
        <s:f>D520*3.5*70/200</s:f>
        <s:v>4.6549999999999994</s:v>
      </s:c>
    </s:row>
    <s:row r="521">
      <s:c r="A521" t="s">
        <s:v>886</s:v>
      </s:c>
      <s:c r="B521" t="s">
        <s:v>1063</s:v>
      </s:c>
      <s:c r="C521" t="s">
        <s:v>1064</s:v>
      </s:c>
      <s:c r="D521">
        <s:v>2.5</s:v>
      </s:c>
      <s:c r="E521">
        <s:f>D521*3.5*70/200</s:f>
        <s:v>3.0625</s:v>
      </s:c>
    </s:row>
    <s:row r="522">
      <s:c r="A522" t="s">
        <s:v>886</s:v>
      </s:c>
      <s:c r="B522" t="s">
        <s:v>1065</s:v>
      </s:c>
      <s:c r="C522" t="s">
        <s:v>1066</s:v>
      </s:c>
      <s:c r="D522">
        <s:v>2</s:v>
      </s:c>
      <s:c r="E522">
        <s:f>D522*3.5*70/200</s:f>
        <s:v>2.4500000000000002</s:v>
      </s:c>
    </s:row>
    <s:row r="523">
      <s:c r="A523" t="s">
        <s:v>886</s:v>
      </s:c>
      <s:c r="B523" t="s">
        <s:v>1067</s:v>
      </s:c>
      <s:c r="C523" t="s">
        <s:v>1068</s:v>
      </s:c>
      <s:c r="D523">
        <s:v>1.3</s:v>
      </s:c>
      <s:c r="E523">
        <s:f>D523*3.5*70/200</s:f>
        <s:v>1.5925</s:v>
      </s:c>
    </s:row>
    <s:row r="524">
      <s:c r="A524" t="s">
        <s:v>886</s:v>
      </s:c>
      <s:c r="B524" t="s">
        <s:v>1069</s:v>
      </s:c>
      <s:c r="C524" t="s">
        <s:v>1070</s:v>
      </s:c>
      <s:c r="D524">
        <s:v>4</s:v>
      </s:c>
      <s:c r="E524">
        <s:f>D524*3.5*70/200</s:f>
        <s:v>4.9000000000000004</s:v>
      </s:c>
    </s:row>
    <s:row r="525">
      <s:c r="A525" t="s">
        <s:v>886</s:v>
      </s:c>
      <s:c r="B525" t="s">
        <s:v>1071</s:v>
      </s:c>
      <s:c r="C525" t="s">
        <s:v>1072</s:v>
      </s:c>
      <s:c r="D525">
        <s:v>9</s:v>
      </s:c>
      <s:c r="E525">
        <s:f>D525*3.5*70/200</s:f>
        <s:v>11.025</s:v>
      </s:c>
    </s:row>
    <s:row r="526">
      <s:c r="A526" t="s">
        <s:v>886</s:v>
      </s:c>
      <s:c r="B526" t="s">
        <s:v>1073</s:v>
      </s:c>
      <s:c r="C526" t="s">
        <s:v>1074</s:v>
      </s:c>
      <s:c r="D526">
        <s:v>2</s:v>
      </s:c>
      <s:c r="E526">
        <s:f>D526*3.5*70/200</s:f>
        <s:v>2.4500000000000002</s:v>
      </s:c>
    </s:row>
    <s:row r="527">
      <s:c r="A527" t="s">
        <s:v>886</s:v>
      </s:c>
      <s:c r="B527" t="s">
        <s:v>1075</s:v>
      </s:c>
      <s:c r="C527" t="s">
        <s:v>1076</s:v>
      </s:c>
      <s:c r="D527">
        <s:v>7.3</s:v>
      </s:c>
      <s:c r="E527">
        <s:f>D527*3.5*70/200</s:f>
        <s:v>8.9425000000000008</s:v>
      </s:c>
    </s:row>
    <s:row r="528">
      <s:c r="A528" t="s">
        <s:v>886</s:v>
      </s:c>
      <s:c r="B528" t="s">
        <s:v>1077</s:v>
      </s:c>
      <s:c r="C528" t="s">
        <s:v>1078</s:v>
      </s:c>
      <s:c r="D528">
        <s:v>8.8000000000000007</s:v>
      </s:c>
      <s:c r="E528">
        <s:f>D528*3.5*70/200</s:f>
        <s:v>10.780000000000003</s:v>
      </s:c>
    </s:row>
    <s:row r="529">
      <s:c r="A529" t="s">
        <s:v>886</s:v>
      </s:c>
      <s:c r="B529" t="s">
        <s:v>1079</s:v>
      </s:c>
      <s:c r="C529" t="s">
        <s:v>1080</s:v>
      </s:c>
      <s:c r="D529">
        <s:v>5</s:v>
      </s:c>
      <s:c r="E529">
        <s:f>D529*3.5*70/200</s:f>
        <s:v>6.125</s:v>
      </s:c>
    </s:row>
    <s:row r="530">
      <s:c r="A530" t="s">
        <s:v>886</s:v>
      </s:c>
      <s:c r="B530" t="s">
        <s:v>1081</s:v>
      </s:c>
      <s:c r="C530" t="s">
        <s:v>1082</s:v>
      </s:c>
      <s:c r="D530">
        <s:v>6.5</s:v>
      </s:c>
      <s:c r="E530">
        <s:f>D530*3.5*70/200</s:f>
        <s:v>7.9625000000000004</s:v>
      </s:c>
    </s:row>
    <s:row r="531">
      <s:c r="A531" t="s">
        <s:v>886</s:v>
      </s:c>
      <s:c r="B531" t="s">
        <s:v>1083</s:v>
      </s:c>
      <s:c r="C531" t="s">
        <s:v>1084</s:v>
      </s:c>
      <s:c r="D531">
        <s:v>1.5</s:v>
      </s:c>
      <s:c r="E531">
        <s:f>D531*3.5*70/200</s:f>
        <s:v>1.8374999999999999</s:v>
      </s:c>
    </s:row>
    <s:row r="532">
      <s:c r="A532" t="s">
        <s:v>886</s:v>
      </s:c>
      <s:c r="B532" t="s">
        <s:v>1085</s:v>
      </s:c>
      <s:c r="C532" t="s">
        <s:v>1086</s:v>
      </s:c>
      <s:c r="D532">
        <s:v>1.3</s:v>
      </s:c>
      <s:c r="E532">
        <s:f>D532*3.5*70/200</s:f>
        <s:v>1.5925</s:v>
      </s:c>
    </s:row>
    <s:row r="533">
      <s:c r="A533" t="s">
        <s:v>886</s:v>
      </s:c>
      <s:c r="B533" t="s">
        <s:v>1087</s:v>
      </s:c>
      <s:c r="C533" t="s">
        <s:v>1088</s:v>
      </s:c>
      <s:c r="D533">
        <s:v>1.3</s:v>
      </s:c>
      <s:c r="E533">
        <s:f>D533*3.5*70/200</s:f>
        <s:v>1.5925</s:v>
      </s:c>
    </s:row>
    <s:row r="534">
      <s:c r="A534" t="s">
        <s:v>886</s:v>
      </s:c>
      <s:c r="B534" t="s">
        <s:v>1089</s:v>
      </s:c>
      <s:c r="C534" t="s">
        <s:v>1090</s:v>
      </s:c>
      <s:c r="D534">
        <s:v>1.3</s:v>
      </s:c>
      <s:c r="E534">
        <s:f>D534*3.5*70/200</s:f>
        <s:v>1.5925</s:v>
      </s:c>
    </s:row>
    <s:row r="535">
      <s:c r="A535" t="s">
        <s:v>886</s:v>
      </s:c>
      <s:c r="B535" t="s">
        <s:v>1091</s:v>
      </s:c>
      <s:c r="C535" t="s">
        <s:v>1092</s:v>
      </s:c>
      <s:c r="D535">
        <s:v>2.5</s:v>
      </s:c>
      <s:c r="E535">
        <s:f>D535*3.5*70/200</s:f>
        <s:v>3.0625</s:v>
      </s:c>
    </s:row>
    <s:row r="536">
      <s:c r="A536" t="s">
        <s:v>886</s:v>
      </s:c>
      <s:c r="B536" t="s">
        <s:v>1093</s:v>
      </s:c>
      <s:c r="C536" t="s">
        <s:v>1094</s:v>
      </s:c>
      <s:c r="D536">
        <s:v>2.8</s:v>
      </s:c>
      <s:c r="E536">
        <s:f>D536*3.5*70/200</s:f>
        <s:v>3.4299999999999993</s:v>
      </s:c>
    </s:row>
    <s:row r="537">
      <s:c r="A537" t="s">
        <s:v>886</s:v>
      </s:c>
      <s:c r="B537" t="s">
        <s:v>1095</s:v>
      </s:c>
      <s:c r="C537" t="s">
        <s:v>1096</s:v>
      </s:c>
      <s:c r="D537">
        <s:v>1.8</s:v>
      </s:c>
      <s:c r="E537">
        <s:f>D537*3.5*70/200</s:f>
        <s:v>2.2050000000000001</s:v>
      </s:c>
    </s:row>
    <s:row r="538">
      <s:c r="A538" t="s">
        <s:v>886</s:v>
      </s:c>
      <s:c r="B538" t="s">
        <s:v>1097</s:v>
      </s:c>
      <s:c r="C538" t="s">
        <s:v>1098</s:v>
      </s:c>
      <s:c r="D538">
        <s:v>3.3</s:v>
      </s:c>
      <s:c r="E538">
        <s:f>D538*3.5*70/200</s:f>
        <s:v>4.0424999999999995</s:v>
      </s:c>
    </s:row>
    <s:row r="539">
      <s:c r="A539" t="s">
        <s:v>886</s:v>
      </s:c>
      <s:c r="B539" t="s">
        <s:v>1099</s:v>
      </s:c>
      <s:c r="C539" t="s">
        <s:v>1100</s:v>
      </s:c>
      <s:c r="D539">
        <s:v>4.5</s:v>
      </s:c>
      <s:c r="E539">
        <s:f>D539*3.5*70/200</s:f>
        <s:v>5.5125000000000002</s:v>
      </s:c>
    </s:row>
    <s:row r="540">
      <s:c r="A540" t="s">
        <s:v>886</s:v>
      </s:c>
      <s:c r="B540" t="s">
        <s:v>1101</s:v>
      </s:c>
      <s:c r="C540" t="s">
        <s:v>1102</s:v>
      </s:c>
      <s:c r="D540">
        <s:v>3.8</s:v>
      </s:c>
      <s:c r="E540">
        <s:f>D540*3.5*70/200</s:f>
        <s:v>4.6549999999999994</s:v>
      </s:c>
    </s:row>
    <s:row r="541">
      <s:c r="A541" t="s">
        <s:v>886</s:v>
      </s:c>
      <s:c r="B541" t="s">
        <s:v>1103</s:v>
      </s:c>
      <s:c r="C541" t="s">
        <s:v>1104</s:v>
      </s:c>
      <s:c r="D541">
        <s:v>4.5</s:v>
      </s:c>
      <s:c r="E541">
        <s:f>D541*3.5*70/200</s:f>
        <s:v>5.5125000000000002</s:v>
      </s:c>
    </s:row>
    <s:row r="542">
      <s:c r="A542" t="s">
        <s:v>886</s:v>
      </s:c>
      <s:c r="B542" t="s">
        <s:v>1105</s:v>
      </s:c>
      <s:c r="C542" t="s">
        <s:v>1106</s:v>
      </s:c>
      <s:c r="D542">
        <s:v>2.2999999999999998</s:v>
      </s:c>
      <s:c r="E542">
        <s:f>D542*3.5*70/200</s:f>
        <s:v>2.8174999999999994</s:v>
      </s:c>
    </s:row>
    <s:row r="543">
      <s:c r="A543" t="s">
        <s:v>886</s:v>
      </s:c>
      <s:c r="B543" t="s">
        <s:v>1107</s:v>
      </s:c>
      <s:c r="C543" t="s">
        <s:v>1108</s:v>
      </s:c>
      <s:c r="D543">
        <s:v>3.5</s:v>
      </s:c>
      <s:c r="E543">
        <s:f>D543*3.5*70/200</s:f>
        <s:v>4.2874999999999996</s:v>
      </s:c>
    </s:row>
    <s:row r="544">
      <s:c r="A544" t="s">
        <s:v>886</s:v>
      </s:c>
      <s:c r="B544" t="s">
        <s:v>1109</s:v>
      </s:c>
      <s:c r="C544" t="s">
        <s:v>1110</s:v>
      </s:c>
      <s:c r="D544">
        <s:v>5.3</s:v>
      </s:c>
      <s:c r="E544">
        <s:f>D544*3.5*70/200</s:f>
        <s:v>6.4924999999999997</s:v>
      </s:c>
    </s:row>
    <s:row r="545">
      <s:c r="A545" t="s">
        <s:v>886</s:v>
      </s:c>
      <s:c r="B545" t="s">
        <s:v>1111</s:v>
      </s:c>
      <s:c r="C545" t="s">
        <s:v>1112</s:v>
      </s:c>
      <s:c r="D545">
        <s:v>8.3000000000000007</s:v>
      </s:c>
      <s:c r="E545">
        <s:f>D545*3.5*70/200</s:f>
        <s:v>10.1675</s:v>
      </s:c>
    </s:row>
    <s:row r="546">
      <s:c r="A546" t="s">
        <s:v>886</s:v>
      </s:c>
      <s:c r="B546" t="s">
        <s:v>1113</s:v>
      </s:c>
      <s:c r="C546" t="s">
        <s:v>1114</s:v>
      </s:c>
      <s:c r="D546">
        <s:v>2.2999999999999998</s:v>
      </s:c>
      <s:c r="E546">
        <s:f>D546*3.5*70/200</s:f>
        <s:v>2.8174999999999994</s:v>
      </s:c>
    </s:row>
    <s:row r="547">
      <s:c r="A547" t="s">
        <s:v>886</s:v>
      </s:c>
      <s:c r="B547" t="s">
        <s:v>1115</s:v>
      </s:c>
      <s:c r="C547" t="s">
        <s:v>1116</s:v>
      </s:c>
      <s:c r="D547">
        <s:v>2.5</s:v>
      </s:c>
      <s:c r="E547">
        <s:f>D547*3.5*70/200</s:f>
        <s:v>3.0625</s:v>
      </s:c>
    </s:row>
    <s:row r="548">
      <s:c r="A548" t="s">
        <s:v>886</s:v>
      </s:c>
      <s:c r="B548" t="s">
        <s:v>1117</s:v>
      </s:c>
      <s:c r="C548" t="s">
        <s:v>1118</s:v>
      </s:c>
      <s:c r="D548">
        <s:v>1.8</s:v>
      </s:c>
      <s:c r="E548">
        <s:f>D548*3.5*70/200</s:f>
        <s:v>2.2050000000000001</s:v>
      </s:c>
    </s:row>
    <s:row r="549">
      <s:c r="A549" t="s">
        <s:v>886</s:v>
      </s:c>
      <s:c r="B549" t="s">
        <s:v>1119</s:v>
      </s:c>
      <s:c r="C549" t="s">
        <s:v>1120</s:v>
      </s:c>
      <s:c r="D549">
        <s:v>2.5</s:v>
      </s:c>
      <s:c r="E549">
        <s:f>D549*3.5*70/200</s:f>
        <s:v>3.0625</s:v>
      </s:c>
    </s:row>
    <s:row r="550">
      <s:c r="A550" t="s">
        <s:v>886</s:v>
      </s:c>
      <s:c r="B550" t="s">
        <s:v>1121</s:v>
      </s:c>
      <s:c r="C550" t="s">
        <s:v>1122</s:v>
      </s:c>
      <s:c r="D550">
        <s:v>3.5</s:v>
      </s:c>
      <s:c r="E550">
        <s:f>D550*3.5*70/200</s:f>
        <s:v>4.2874999999999996</s:v>
      </s:c>
    </s:row>
    <s:row r="551">
      <s:c r="A551" t="s">
        <s:v>886</s:v>
      </s:c>
      <s:c r="B551" t="s">
        <s:v>1123</s:v>
      </s:c>
      <s:c r="C551" t="s">
        <s:v>1124</s:v>
      </s:c>
      <s:c r="D551">
        <s:v>2</s:v>
      </s:c>
      <s:c r="E551">
        <s:f>D551*3.5*70/200</s:f>
        <s:v>2.4500000000000002</s:v>
      </s:c>
    </s:row>
    <s:row r="552">
      <s:c r="A552" t="s">
        <s:v>886</s:v>
      </s:c>
      <s:c r="B552" t="s">
        <s:v>1125</s:v>
      </s:c>
      <s:c r="C552" t="s">
        <s:v>1126</s:v>
      </s:c>
      <s:c r="D552">
        <s:v>4</s:v>
      </s:c>
      <s:c r="E552">
        <s:f>D552*3.5*70/200</s:f>
        <s:v>4.9000000000000004</s:v>
      </s:c>
    </s:row>
    <s:row r="553">
      <s:c r="A553" t="s">
        <s:v>886</s:v>
      </s:c>
      <s:c r="B553" t="s">
        <s:v>1127</s:v>
      </s:c>
      <s:c r="C553" t="s">
        <s:v>1128</s:v>
      </s:c>
      <s:c r="D553">
        <s:v>6.5</s:v>
      </s:c>
      <s:c r="E553">
        <s:f>D553*3.5*70/200</s:f>
        <s:v>7.9625000000000004</s:v>
      </s:c>
    </s:row>
    <s:row r="554">
      <s:c r="A554" t="s">
        <s:v>886</s:v>
      </s:c>
      <s:c r="B554" t="s">
        <s:v>1129</s:v>
      </s:c>
      <s:c r="C554" t="s">
        <s:v>1130</s:v>
      </s:c>
      <s:c r="D554">
        <s:v>2</s:v>
      </s:c>
      <s:c r="E554">
        <s:f>D554*3.5*70/200</s:f>
        <s:v>2.4500000000000002</s:v>
      </s:c>
    </s:row>
    <s:row r="555">
      <s:c r="A555" t="s">
        <s:v>886</s:v>
      </s:c>
      <s:c r="B555" t="s">
        <s:v>1131</s:v>
      </s:c>
      <s:c r="C555" t="s">
        <s:v>1132</s:v>
      </s:c>
      <s:c r="D555">
        <s:v>1.3</s:v>
      </s:c>
      <s:c r="E555">
        <s:f>D555*3.5*70/200</s:f>
        <s:v>1.5925</s:v>
      </s:c>
    </s:row>
    <s:row r="556">
      <s:c r="A556" t="s">
        <s:v>886</s:v>
      </s:c>
      <s:c r="B556" t="s">
        <s:v>1133</s:v>
      </s:c>
      <s:c r="C556" t="s">
        <s:v>1134</s:v>
      </s:c>
      <s:c r="D556">
        <s:v>6.3</s:v>
      </s:c>
      <s:c r="E556">
        <s:f>D556*3.5*70/200</s:f>
        <s:v>7.7175000000000002</s:v>
      </s:c>
    </s:row>
    <s:row r="557">
      <s:c r="A557" t="s">
        <s:v>886</s:v>
      </s:c>
      <s:c r="B557" t="s">
        <s:v>1135</s:v>
      </s:c>
      <s:c r="C557" t="s">
        <s:v>1136</s:v>
      </s:c>
      <s:c r="D557">
        <s:v>7.8</s:v>
      </s:c>
      <s:c r="E557">
        <s:f>D557*3.5*70/200</s:f>
        <s:v>9.5549999999999997</s:v>
      </s:c>
    </s:row>
    <s:row r="558">
      <s:c r="A558" t="s">
        <s:v>886</s:v>
      </s:c>
      <s:c r="B558" t="s">
        <s:v>1137</s:v>
      </s:c>
      <s:c r="C558" t="s">
        <s:v>1138</s:v>
      </s:c>
      <s:c r="D558">
        <s:v>2</s:v>
      </s:c>
      <s:c r="E558">
        <s:f>D558*3.5*70/200</s:f>
        <s:v>2.4500000000000002</s:v>
      </s:c>
    </s:row>
    <s:row r="559">
      <s:c r="A559" t="s">
        <s:v>886</s:v>
      </s:c>
      <s:c r="B559" t="s">
        <s:v>1139</s:v>
      </s:c>
      <s:c r="C559" t="s">
        <s:v>1140</s:v>
      </s:c>
      <s:c r="D559">
        <s:v>3.8</s:v>
      </s:c>
      <s:c r="E559">
        <s:f>D559*3.5*70/200</s:f>
        <s:v>4.6549999999999994</s:v>
      </s:c>
    </s:row>
    <s:row r="560">
      <s:c r="A560" t="s">
        <s:v>886</s:v>
      </s:c>
      <s:c r="B560" t="s">
        <s:v>1141</s:v>
      </s:c>
      <s:c r="C560" t="s">
        <s:v>1142</s:v>
      </s:c>
      <s:c r="D560">
        <s:v>4.8</s:v>
      </s:c>
      <s:c r="E560">
        <s:f>D560*3.5*70/200</s:f>
        <s:v>5.88</s:v>
      </s:c>
    </s:row>
    <s:row r="561">
      <s:c r="A561" t="s">
        <s:v>886</s:v>
      </s:c>
      <s:c r="B561" t="s">
        <s:v>1143</s:v>
      </s:c>
      <s:c r="C561" t="s">
        <s:v>1144</s:v>
      </s:c>
      <s:c r="D561">
        <s:v>3.5</s:v>
      </s:c>
      <s:c r="E561">
        <s:f>D561*3.5*70/200</s:f>
        <s:v>4.2874999999999996</s:v>
      </s:c>
    </s:row>
    <s:row r="562">
      <s:c r="A562" t="s">
        <s:v>886</s:v>
      </s:c>
      <s:c r="B562" t="s">
        <s:v>1145</s:v>
      </s:c>
      <s:c r="C562" t="s">
        <s:v>1146</s:v>
      </s:c>
      <s:c r="D562">
        <s:v>3</s:v>
      </s:c>
      <s:c r="E562">
        <s:f>D562*3.5*70/200</s:f>
        <s:v>3.6749999999999998</s:v>
      </s:c>
    </s:row>
    <s:row r="563">
      <s:c r="A563" t="s">
        <s:v>886</s:v>
      </s:c>
      <s:c r="B563" t="s">
        <s:v>1147</s:v>
      </s:c>
      <s:c r="C563" t="s">
        <s:v>1148</s:v>
      </s:c>
      <s:c r="D563">
        <s:v>3.8</s:v>
      </s:c>
      <s:c r="E563">
        <s:f>D563*3.5*70/200</s:f>
        <s:v>4.6549999999999994</s:v>
      </s:c>
    </s:row>
    <s:row r="564">
      <s:c r="A564" t="s">
        <s:v>886</s:v>
      </s:c>
      <s:c r="B564" t="s">
        <s:v>1149</s:v>
      </s:c>
      <s:c r="C564" t="s">
        <s:v>1150</s:v>
      </s:c>
      <s:c r="D564">
        <s:v>4.5</s:v>
      </s:c>
      <s:c r="E564">
        <s:f>D564*3.5*70/200</s:f>
        <s:v>5.5125000000000002</s:v>
      </s:c>
    </s:row>
    <s:row r="565">
      <s:c r="A565" t="s">
        <s:v>886</s:v>
      </s:c>
      <s:c r="B565" t="s">
        <s:v>1151</s:v>
      </s:c>
      <s:c r="C565" t="s">
        <s:v>1152</s:v>
      </s:c>
      <s:c r="D565">
        <s:v>3.8</s:v>
      </s:c>
      <s:c r="E565">
        <s:f>D565*3.5*70/200</s:f>
        <s:v>4.6549999999999994</s:v>
      </s:c>
    </s:row>
    <s:row r="566">
      <s:c r="A566" t="s">
        <s:v>886</s:v>
      </s:c>
      <s:c r="B566" t="s">
        <s:v>1153</s:v>
      </s:c>
      <s:c r="C566" t="s">
        <s:v>1154</s:v>
      </s:c>
      <s:c r="D566">
        <s:v>4.5</s:v>
      </s:c>
      <s:c r="E566">
        <s:f>D566*3.5*70/200</s:f>
        <s:v>5.5125000000000002</s:v>
      </s:c>
    </s:row>
    <s:row r="567">
      <s:c r="A567" t="s">
        <s:v>886</s:v>
      </s:c>
      <s:c r="B567" t="s">
        <s:v>1155</s:v>
      </s:c>
      <s:c r="C567" t="s">
        <s:v>1156</s:v>
      </s:c>
      <s:c r="D567">
        <s:v>4</s:v>
      </s:c>
      <s:c r="E567">
        <s:f>D567*3.5*70/200</s:f>
        <s:v>4.9000000000000004</s:v>
      </s:c>
    </s:row>
    <s:row r="568">
      <s:c r="A568" t="s">
        <s:v>886</s:v>
      </s:c>
      <s:c r="B568" t="s">
        <s:v>1157</s:v>
      </s:c>
      <s:c r="C568" t="s">
        <s:v>1158</s:v>
      </s:c>
      <s:c r="D568">
        <s:v>5.5</s:v>
      </s:c>
      <s:c r="E568">
        <s:f>D568*3.5*70/200</s:f>
        <s:v>6.7374999999999998</s:v>
      </s:c>
    </s:row>
    <s:row r="569">
      <s:c r="A569" t="s">
        <s:v>886</s:v>
      </s:c>
      <s:c r="B569" t="s">
        <s:v>1159</s:v>
      </s:c>
      <s:c r="C569" t="s">
        <s:v>1160</s:v>
      </s:c>
      <s:c r="D569">
        <s:v>7</s:v>
      </s:c>
      <s:c r="E569">
        <s:f>D569*3.5*70/200</s:f>
        <s:v>8.5749999999999993</s:v>
      </s:c>
    </s:row>
    <s:row r="570">
      <s:c r="A570" t="s">
        <s:v>886</s:v>
      </s:c>
      <s:c r="B570" t="s">
        <s:v>1161</s:v>
      </s:c>
      <s:c r="C570" t="s">
        <s:v>1162</s:v>
      </s:c>
      <s:c r="D570">
        <s:v>7.3</s:v>
      </s:c>
      <s:c r="E570">
        <s:f>D570*3.5*70/200</s:f>
        <s:v>8.9425000000000008</s:v>
      </s:c>
    </s:row>
    <s:row r="571">
      <s:c r="A571" t="s">
        <s:v>886</s:v>
      </s:c>
      <s:c r="B571" t="s">
        <s:v>1163</s:v>
      </s:c>
      <s:c r="C571" t="s">
        <s:v>1164</s:v>
      </s:c>
      <s:c r="D571">
        <s:v>2.2999999999999998</s:v>
      </s:c>
      <s:c r="E571">
        <s:f>D571*3.5*70/200</s:f>
        <s:v>2.8174999999999994</s:v>
      </s:c>
    </s:row>
    <s:row r="572">
      <s:c r="A572" t="s">
        <s:v>886</s:v>
      </s:c>
      <s:c r="B572" t="s">
        <s:v>1165</s:v>
      </s:c>
      <s:c r="C572" t="s">
        <s:v>1166</s:v>
      </s:c>
      <s:c r="D572">
        <s:v>4.3</s:v>
      </s:c>
      <s:c r="E572">
        <s:f>D572*3.5*70/200</s:f>
        <s:v>5.2675000000000001</s:v>
      </s:c>
    </s:row>
    <s:row r="573">
      <s:c r="A573" t="s">
        <s:v>886</s:v>
      </s:c>
      <s:c r="B573" t="s">
        <s:v>1167</s:v>
      </s:c>
      <s:c r="C573" t="s">
        <s:v>1168</s:v>
      </s:c>
      <s:c r="D573">
        <s:v>3</s:v>
      </s:c>
      <s:c r="E573">
        <s:f>D573*3.5*70/200</s:f>
        <s:v>3.6749999999999998</s:v>
      </s:c>
    </s:row>
    <s:row r="574">
      <s:c r="A574" t="s">
        <s:v>886</s:v>
      </s:c>
      <s:c r="B574" t="s">
        <s:v>1169</s:v>
      </s:c>
      <s:c r="C574" t="s">
        <s:v>1170</s:v>
      </s:c>
      <s:c r="D574">
        <s:v>3.5</s:v>
      </s:c>
      <s:c r="E574">
        <s:f>D574*3.5*70/200</s:f>
        <s:v>4.2874999999999996</s:v>
      </s:c>
    </s:row>
    <s:row r="575">
      <s:c r="A575" t="s">
        <s:v>886</s:v>
      </s:c>
      <s:c r="B575" t="s">
        <s:v>1171</s:v>
      </s:c>
      <s:c r="C575" t="s">
        <s:v>1172</s:v>
      </s:c>
      <s:c r="D575">
        <s:v>4</s:v>
      </s:c>
      <s:c r="E575">
        <s:f>D575*3.5*70/200</s:f>
        <s:v>4.9000000000000004</s:v>
      </s:c>
    </s:row>
    <s:row r="576">
      <s:c r="A576" t="s">
        <s:v>886</s:v>
      </s:c>
      <s:c r="B576" t="s">
        <s:v>1173</s:v>
      </s:c>
      <s:c r="C576" t="s">
        <s:v>1174</s:v>
      </s:c>
      <s:c r="D576">
        <s:v>5</s:v>
      </s:c>
      <s:c r="E576">
        <s:f>D576*3.5*70/200</s:f>
        <s:v>6.125</s:v>
      </s:c>
    </s:row>
    <s:row r="577">
      <s:c r="A577" t="s">
        <s:v>886</s:v>
      </s:c>
      <s:c r="B577" t="s">
        <s:v>1175</s:v>
      </s:c>
      <s:c r="C577" t="s">
        <s:v>1176</s:v>
      </s:c>
      <s:c r="D577">
        <s:v>6.3</s:v>
      </s:c>
      <s:c r="E577">
        <s:f>D577*3.5*70/200</s:f>
        <s:v>7.7175000000000002</s:v>
      </s:c>
    </s:row>
    <s:row r="578">
      <s:c r="A578" t="s">
        <s:v>886</s:v>
      </s:c>
      <s:c r="B578" t="s">
        <s:v>1177</s:v>
      </s:c>
      <s:c r="C578" t="s">
        <s:v>1178</s:v>
      </s:c>
      <s:c r="D578">
        <s:v>6</s:v>
      </s:c>
      <s:c r="E578">
        <s:f>D578*3.5*70/200</s:f>
        <s:v>7.35</s:v>
      </s:c>
    </s:row>
    <s:row r="579">
      <s:c r="A579" t="s">
        <s:v>886</s:v>
      </s:c>
      <s:c r="B579" t="s">
        <s:v>1179</s:v>
      </s:c>
      <s:c r="C579" t="s">
        <s:v>1180</s:v>
      </s:c>
      <s:c r="D579">
        <s:v>8.5</s:v>
      </s:c>
      <s:c r="E579">
        <s:f>D579*3.5*70/200</s:f>
        <s:v>10.4125</s:v>
      </s:c>
    </s:row>
    <s:row r="580">
      <s:c r="A580" t="s">
        <s:v>886</s:v>
      </s:c>
      <s:c r="B580" t="s">
        <s:v>1181</s:v>
      </s:c>
      <s:c r="C580" t="s">
        <s:v>1182</s:v>
      </s:c>
      <s:c r="D580">
        <s:v>11</s:v>
      </s:c>
      <s:c r="E580">
        <s:f>D580*3.5*70/200</s:f>
        <s:v>13.475</s:v>
      </s:c>
    </s:row>
    <s:row r="581">
      <s:c r="A581" t="s">
        <s:v>886</s:v>
      </s:c>
      <s:c r="B581" t="s">
        <s:v>1183</s:v>
      </s:c>
      <s:c r="C581" t="s">
        <s:v>1184</s:v>
      </s:c>
      <s:c r="D581">
        <s:v>6</s:v>
      </s:c>
      <s:c r="E581">
        <s:f>D581*3.5*70/200</s:f>
        <s:v>7.35</s:v>
      </s:c>
    </s:row>
    <s:row r="582">
      <s:c r="A582" t="s">
        <s:v>1185</s:v>
      </s:c>
      <s:c r="B582" t="s">
        <s:v>1186</s:v>
      </s:c>
      <s:c r="C582" t="s">
        <s:v>1187</s:v>
      </s:c>
      <s:c r="D582">
        <s:v>6</s:v>
      </s:c>
      <s:c r="E582">
        <s:f>D582*3.5*70/200</s:f>
        <s:v>7.35</s:v>
      </s:c>
    </s:row>
    <s:row r="583">
      <s:c r="A583" t="s">
        <s:v>1185</s:v>
      </s:c>
      <s:c r="B583" t="s">
        <s:v>1188</s:v>
      </s:c>
      <s:c r="C583" t="s">
        <s:v>1189</s:v>
      </s:c>
      <s:c r="D583">
        <s:v>7.5</s:v>
      </s:c>
      <s:c r="E583">
        <s:f>D583*3.5*70/200</s:f>
        <s:v>9.1875</s:v>
      </s:c>
    </s:row>
    <s:row r="584">
      <s:c r="A584" t="s">
        <s:v>1185</s:v>
      </s:c>
      <s:c r="B584" t="s">
        <s:v>1190</s:v>
      </s:c>
      <s:c r="C584" t="s">
        <s:v>1191</s:v>
      </s:c>
      <s:c r="D584">
        <s:v>4.8</s:v>
      </s:c>
      <s:c r="E584">
        <s:f>D584*3.5*70/200</s:f>
        <s:v>5.88</s:v>
      </s:c>
    </s:row>
    <s:row r="585">
      <s:c r="A585" t="s">
        <s:v>1185</s:v>
      </s:c>
      <s:c r="B585" t="s">
        <s:v>1192</s:v>
      </s:c>
      <s:c r="C585" t="s">
        <s:v>1193</s:v>
      </s:c>
      <s:c r="D585">
        <s:v>3.3</s:v>
      </s:c>
      <s:c r="E585">
        <s:f>D585*3.5*70/200</s:f>
        <s:v>4.0424999999999995</s:v>
      </s:c>
    </s:row>
    <s:row r="586">
      <s:c r="A586" t="s">
        <s:v>1185</s:v>
      </s:c>
      <s:c r="B586" t="s">
        <s:v>1194</s:v>
      </s:c>
      <s:c r="C586" t="s">
        <s:v>1195</s:v>
      </s:c>
      <s:c r="D586">
        <s:v>4.5</s:v>
      </s:c>
      <s:c r="E586">
        <s:f>D586*3.5*70/200</s:f>
        <s:v>5.5125000000000002</s:v>
      </s:c>
    </s:row>
    <s:row r="587">
      <s:c r="A587" t="s">
        <s:v>1185</s:v>
      </s:c>
      <s:c r="B587" t="s">
        <s:v>1196</s:v>
      </s:c>
      <s:c r="C587" t="s">
        <s:v>1197</s:v>
      </s:c>
      <s:c r="D587">
        <s:v>6.5</s:v>
      </s:c>
      <s:c r="E587">
        <s:f>D587*3.5*70/200</s:f>
        <s:v>7.9625000000000004</s:v>
      </s:c>
    </s:row>
    <s:row r="588">
      <s:c r="A588" t="s">
        <s:v>1185</s:v>
      </s:c>
      <s:c r="B588" t="s">
        <s:v>1198</s:v>
      </s:c>
      <s:c r="C588" t="s">
        <s:v>1199</s:v>
      </s:c>
      <s:c r="D588">
        <s:v>7.8</s:v>
      </s:c>
      <s:c r="E588">
        <s:f>D588*3.5*70/200</s:f>
        <s:v>9.5549999999999997</s:v>
      </s:c>
    </s:row>
    <s:row r="589">
      <s:c r="A589" t="s">
        <s:v>1185</s:v>
      </s:c>
      <s:c r="B589" t="s">
        <s:v>1200</s:v>
      </s:c>
      <s:c r="C589" t="s">
        <s:v>1201</s:v>
      </s:c>
      <s:c r="D589">
        <s:v>8.5</s:v>
      </s:c>
      <s:c r="E589">
        <s:f>D589*3.5*70/200</s:f>
        <s:v>10.4125</s:v>
      </s:c>
    </s:row>
    <s:row r="590">
      <s:c r="A590" t="s">
        <s:v>1185</s:v>
      </s:c>
      <s:c r="B590" t="s">
        <s:v>1202</s:v>
      </s:c>
      <s:c r="C590" t="s">
        <s:v>1203</s:v>
      </s:c>
      <s:c r="D590">
        <s:v>9</s:v>
      </s:c>
      <s:c r="E590">
        <s:f>D590*3.5*70/200</s:f>
        <s:v>11.025</s:v>
      </s:c>
    </s:row>
    <s:row r="591">
      <s:c r="A591" t="s">
        <s:v>1185</s:v>
      </s:c>
      <s:c r="B591" t="s">
        <s:v>1204</s:v>
      </s:c>
      <s:c r="C591" t="s">
        <s:v>1205</s:v>
      </s:c>
      <s:c r="D591">
        <s:v>9.3000000000000007</s:v>
      </s:c>
      <s:c r="E591">
        <s:f>D591*3.5*70/200</s:f>
        <s:v>11.392500000000002</s:v>
      </s:c>
    </s:row>
    <s:row r="592">
      <s:c r="A592" t="s">
        <s:v>1185</s:v>
      </s:c>
      <s:c r="B592" t="s">
        <s:v>1206</s:v>
      </s:c>
      <s:c r="C592" t="s">
        <s:v>1207</s:v>
      </s:c>
      <s:c r="D592">
        <s:v>10.5</s:v>
      </s:c>
      <s:c r="E592">
        <s:f>D592*3.5*70/200</s:f>
        <s:v>12.862500000000001</s:v>
      </s:c>
    </s:row>
    <s:row r="593">
      <s:c r="A593" t="s">
        <s:v>1185</s:v>
      </s:c>
      <s:c r="B593" t="s">
        <s:v>1208</s:v>
      </s:c>
      <s:c r="C593" t="s">
        <s:v>1209</s:v>
      </s:c>
      <s:c r="D593">
        <s:v>11</s:v>
      </s:c>
      <s:c r="E593">
        <s:f>D593*3.5*70/200</s:f>
        <s:v>13.475</s:v>
      </s:c>
    </s:row>
    <s:row r="594">
      <s:c r="A594" t="s">
        <s:v>1185</s:v>
      </s:c>
      <s:c r="B594" t="s">
        <s:v>1210</s:v>
      </s:c>
      <s:c r="C594" t="s">
        <s:v>1211</s:v>
      </s:c>
      <s:c r="D594">
        <s:v>11.8</s:v>
      </s:c>
      <s:c r="E594">
        <s:f>D594*3.5*70/200</s:f>
        <s:v>14.455000000000002</s:v>
      </s:c>
    </s:row>
    <s:row r="595">
      <s:c r="A595" t="s">
        <s:v>1185</s:v>
      </s:c>
      <s:c r="B595" t="s">
        <s:v>1212</s:v>
      </s:c>
      <s:c r="C595" t="s">
        <s:v>1213</s:v>
      </s:c>
      <s:c r="D595">
        <s:v>12</s:v>
      </s:c>
      <s:c r="E595">
        <s:f>D595*3.5*70/200</s:f>
        <s:v>14.7</s:v>
      </s:c>
    </s:row>
    <s:row r="596">
      <s:c r="A596" t="s">
        <s:v>1185</s:v>
      </s:c>
      <s:c r="B596" t="s">
        <s:v>1214</s:v>
      </s:c>
      <s:c r="C596" t="s">
        <s:v>1215</s:v>
      </s:c>
      <s:c r="D596">
        <s:v>12.5</s:v>
      </s:c>
      <s:c r="E596">
        <s:f>D596*3.5*70/200</s:f>
        <s:v>15.3125</s:v>
      </s:c>
    </s:row>
    <s:row r="597">
      <s:c r="A597" t="s">
        <s:v>1185</s:v>
      </s:c>
      <s:c r="B597" t="s">
        <s:v>1216</s:v>
      </s:c>
      <s:c r="C597" t="s">
        <s:v>1217</s:v>
      </s:c>
      <s:c r="D597">
        <s:v>13</s:v>
      </s:c>
      <s:c r="E597">
        <s:f>D597*3.5*70/200</s:f>
        <s:v>15.925000000000001</s:v>
      </s:c>
    </s:row>
    <s:row r="598">
      <s:c r="A598" t="s">
        <s:v>1185</s:v>
      </s:c>
      <s:c r="B598" t="s">
        <s:v>1218</s:v>
      </s:c>
      <s:c r="C598" t="s">
        <s:v>1219</s:v>
      </s:c>
      <s:c r="D598">
        <s:v>14.8</s:v>
      </s:c>
      <s:c r="E598">
        <s:f>D598*3.5*70/200</s:f>
        <s:v>18.130000000000003</s:v>
      </s:c>
    </s:row>
    <s:row r="599">
      <s:c r="A599" t="s">
        <s:v>1185</s:v>
      </s:c>
      <s:c r="B599" t="s">
        <s:v>1220</s:v>
      </s:c>
      <s:c r="C599" t="s">
        <s:v>1221</s:v>
      </s:c>
      <s:c r="D599">
        <s:v>14.8</s:v>
      </s:c>
      <s:c r="E599">
        <s:f>D599*3.5*70/200</s:f>
        <s:v>18.130000000000003</s:v>
      </s:c>
    </s:row>
    <s:row r="600">
      <s:c r="A600" t="s">
        <s:v>1185</s:v>
      </s:c>
      <s:c r="B600" t="s">
        <s:v>1222</s:v>
      </s:c>
      <s:c r="C600" t="s">
        <s:v>1223</s:v>
      </s:c>
      <s:c r="D600">
        <s:v>16.8</s:v>
      </s:c>
      <s:c r="E600">
        <s:f>D600*3.5*70/200</s:f>
        <s:v>20.58</s:v>
      </s:c>
    </s:row>
    <s:row r="601">
      <s:c r="A601" t="s">
        <s:v>1185</s:v>
      </s:c>
      <s:c r="B601" t="s">
        <s:v>1224</s:v>
      </s:c>
      <s:c r="C601" t="s">
        <s:v>1225</s:v>
      </s:c>
      <s:c r="D601">
        <s:v>18.5</s:v>
      </s:c>
      <s:c r="E601">
        <s:f>D601*3.5*70/200</s:f>
        <s:v>22.662500000000001</s:v>
      </s:c>
    </s:row>
    <s:row r="602">
      <s:c r="A602" t="s">
        <s:v>1185</s:v>
      </s:c>
      <s:c r="B602" t="s">
        <s:v>1226</s:v>
      </s:c>
      <s:c r="C602" t="s">
        <s:v>1227</s:v>
      </s:c>
      <s:c r="D602">
        <s:v>19.8</s:v>
      </s:c>
      <s:c r="E602">
        <s:f>D602*3.5*70/200</s:f>
        <s:v>24.254999999999999</s:v>
      </s:c>
    </s:row>
    <s:row r="603">
      <s:c r="A603" t="s">
        <s:v>1185</s:v>
      </s:c>
      <s:c r="B603" t="s">
        <s:v>1228</s:v>
      </s:c>
      <s:c r="C603" t="s">
        <s:v>1229</s:v>
      </s:c>
      <s:c r="D603">
        <s:v>23</s:v>
      </s:c>
      <s:c r="E603">
        <s:f>D603*3.5*70/200</s:f>
        <s:v>28.175000000000001</s:v>
      </s:c>
    </s:row>
    <s:row r="604">
      <s:c r="A604" t="s">
        <s:v>1185</s:v>
      </s:c>
      <s:c r="B604" t="s">
        <s:v>1230</s:v>
      </s:c>
      <s:c r="C604" t="s">
        <s:v>1231</s:v>
      </s:c>
      <s:c r="D604">
        <s:v>9.3000000000000007</s:v>
      </s:c>
      <s:c r="E604">
        <s:f>D604*3.5*70/200</s:f>
        <s:v>11.392500000000002</s:v>
      </s:c>
    </s:row>
    <s:row r="605">
      <s:c r="A605" t="s">
        <s:v>1185</s:v>
      </s:c>
      <s:c r="B605" t="s">
        <s:v>1232</s:v>
      </s:c>
      <s:c r="C605" t="s">
        <s:v>1233</s:v>
      </s:c>
      <s:c r="D605">
        <s:v>10.5</s:v>
      </s:c>
      <s:c r="E605">
        <s:f>D605*3.5*70/200</s:f>
        <s:v>12.862500000000001</s:v>
      </s:c>
    </s:row>
    <s:row r="606">
      <s:c r="A606" t="s">
        <s:v>1185</s:v>
      </s:c>
      <s:c r="B606" t="s">
        <s:v>1234</s:v>
      </s:c>
      <s:c r="C606" t="s">
        <s:v>1235</s:v>
      </s:c>
      <s:c r="D606">
        <s:v>8</s:v>
      </s:c>
      <s:c r="E606">
        <s:f>D606*3.5*70/200</s:f>
        <s:v>9.8000000000000007</s:v>
      </s:c>
    </s:row>
    <s:row r="607">
      <s:c r="A607" t="s">
        <s:v>1185</s:v>
      </s:c>
      <s:c r="B607" t="s">
        <s:v>1236</s:v>
      </s:c>
      <s:c r="C607" t="s">
        <s:v>1237</s:v>
      </s:c>
      <s:c r="D607">
        <s:v>15</s:v>
      </s:c>
      <s:c r="E607">
        <s:f>D607*3.5*70/200</s:f>
        <s:v>18.375</s:v>
      </s:c>
    </s:row>
    <s:row r="608">
      <s:c r="A608" t="s">
        <s:v>1185</s:v>
      </s:c>
      <s:c r="B608" t="s">
        <s:v>1238</s:v>
      </s:c>
      <s:c r="C608" t="s">
        <s:v>1239</s:v>
      </s:c>
      <s:c r="D608">
        <s:v>10</s:v>
      </s:c>
      <s:c r="E608">
        <s:f>D608*3.5*70/200</s:f>
        <s:v>12.25</s:v>
      </s:c>
    </s:row>
    <s:row r="609">
      <s:c r="A609" t="s">
        <s:v>1185</s:v>
      </s:c>
      <s:c r="B609" t="s">
        <s:v>1240</s:v>
      </s:c>
      <s:c r="C609" t="s">
        <s:v>1241</s:v>
      </s:c>
      <s:c r="D609">
        <s:v>18</s:v>
      </s:c>
      <s:c r="E609">
        <s:f>D609*3.5*70/200</s:f>
        <s:v>22.05</s:v>
      </s:c>
    </s:row>
    <s:row r="610">
      <s:c r="A610" t="s">
        <s:v>1185</s:v>
      </s:c>
      <s:c r="B610" t="s">
        <s:v>1242</s:v>
      </s:c>
      <s:c r="C610" t="s">
        <s:v>1243</s:v>
      </s:c>
      <s:c r="D610">
        <s:v>19.3</s:v>
      </s:c>
      <s:c r="E610">
        <s:f>D610*3.5*70/200</s:f>
        <s:v>23.642499999999998</s:v>
      </s:c>
    </s:row>
    <s:row r="611">
      <s:c r="A611" t="s">
        <s:v>1185</s:v>
      </s:c>
      <s:c r="B611" t="s">
        <s:v>1244</s:v>
      </s:c>
      <s:c r="C611" t="s">
        <s:v>1245</s:v>
      </s:c>
      <s:c r="D611">
        <s:v>8</s:v>
      </s:c>
      <s:c r="E611">
        <s:f>D611*3.5*70/200</s:f>
        <s:v>9.8000000000000007</s:v>
      </s:c>
    </s:row>
    <s:row r="612">
      <s:c r="A612" t="s">
        <s:v>1185</s:v>
      </s:c>
      <s:c r="B612" t="s">
        <s:v>1246</s:v>
      </s:c>
      <s:c r="C612" t="s">
        <s:v>1247</s:v>
      </s:c>
      <s:c r="D612">
        <s:v>13.3</s:v>
      </s:c>
      <s:c r="E612">
        <s:f>D612*3.5*70/200</s:f>
        <s:v>16.292500000000004</s:v>
      </s:c>
    </s:row>
    <s:row r="613">
      <s:c r="A613" t="s">
        <s:v>1185</s:v>
      </s:c>
      <s:c r="B613" t="s">
        <s:v>1248</s:v>
      </s:c>
      <s:c r="C613" t="s">
        <s:v>1249</s:v>
      </s:c>
      <s:c r="D613">
        <s:v>10.3</s:v>
      </s:c>
      <s:c r="E613">
        <s:f>D613*3.5*70/200</s:f>
        <s:v>12.617500000000001</s:v>
      </s:c>
    </s:row>
    <s:row r="614">
      <s:c r="A614" t="s">
        <s:v>1185</s:v>
      </s:c>
      <s:c r="B614" t="s">
        <s:v>1250</s:v>
      </s:c>
      <s:c r="C614" t="s">
        <s:v>1251</s:v>
      </s:c>
      <s:c r="D614">
        <s:v>13.3</s:v>
      </s:c>
      <s:c r="E614">
        <s:f>D614*3.5*70/200</s:f>
        <s:v>16.292500000000004</s:v>
      </s:c>
    </s:row>
    <s:row r="615">
      <s:c r="A615" t="s">
        <s:v>1185</s:v>
      </s:c>
      <s:c r="B615" t="s">
        <s:v>1252</s:v>
      </s:c>
      <s:c r="C615" t="s">
        <s:v>1253</s:v>
      </s:c>
      <s:c r="D615">
        <s:v>15.5</s:v>
      </s:c>
      <s:c r="E615">
        <s:f>D615*3.5*70/200</s:f>
        <s:v>18.987500000000001</s:v>
      </s:c>
    </s:row>
    <s:row r="616">
      <s:c r="A616" t="s">
        <s:v>1185</s:v>
      </s:c>
      <s:c r="B616" t="s">
        <s:v>1254</s:v>
      </s:c>
      <s:c r="C616" t="s">
        <s:v>1255</s:v>
      </s:c>
      <s:c r="D616">
        <s:v>17.5</s:v>
      </s:c>
      <s:c r="E616">
        <s:f>D616*3.5*70/200</s:f>
        <s:v>21.4375</s:v>
      </s:c>
    </s:row>
    <s:row r="617">
      <s:c r="A617" t="s">
        <s:v>1185</s:v>
      </s:c>
      <s:c r="B617" t="s">
        <s:v>1256</s:v>
      </s:c>
      <s:c r="C617" t="s">
        <s:v>1257</s:v>
      </s:c>
      <s:c r="D617">
        <s:v>8.8000000000000007</s:v>
      </s:c>
      <s:c r="E617">
        <s:f>D617*3.5*70/200</s:f>
        <s:v>10.780000000000003</s:v>
      </s:c>
    </s:row>
    <s:row r="618">
      <s:c r="A618" t="s">
        <s:v>1185</s:v>
      </s:c>
      <s:c r="B618" t="s">
        <s:v>1258</s:v>
      </s:c>
      <s:c r="C618" t="s">
        <s:v>1259</s:v>
      </s:c>
      <s:c r="D618">
        <s:v>10.3</s:v>
      </s:c>
      <s:c r="E618">
        <s:f>D618*3.5*70/200</s:f>
        <s:v>12.617500000000001</s:v>
      </s:c>
    </s:row>
    <s:row r="619">
      <s:c r="A619" t="s">
        <s:v>1185</s:v>
      </s:c>
      <s:c r="B619" t="s">
        <s:v>1260</s:v>
      </s:c>
      <s:c r="C619" t="s">
        <s:v>1261</s:v>
      </s:c>
      <s:c r="D619">
        <s:v>11.8</s:v>
      </s:c>
      <s:c r="E619">
        <s:f>D619*3.5*70/200</s:f>
        <s:v>14.455000000000002</s:v>
      </s:c>
    </s:row>
    <s:row r="620">
      <s:c r="A620" t="s">
        <s:v>1185</s:v>
      </s:c>
      <s:c r="B620" t="s">
        <s:v>1262</s:v>
      </s:c>
      <s:c r="C620" t="s">
        <s:v>1263</s:v>
      </s:c>
      <s:c r="D620">
        <s:v>13.5</s:v>
      </s:c>
      <s:c r="E620">
        <s:f>D620*3.5*70/200</s:f>
        <s:v>16.537500000000001</s:v>
      </s:c>
    </s:row>
    <s:row r="621">
      <s:c r="A621" t="s">
        <s:v>1185</s:v>
      </s:c>
      <s:c r="B621" t="s">
        <s:v>1264</s:v>
      </s:c>
      <s:c r="C621" t="s">
        <s:v>1265</s:v>
      </s:c>
      <s:c r="D621">
        <s:v>14.8</s:v>
      </s:c>
      <s:c r="E621">
        <s:f>D621*3.5*70/200</s:f>
        <s:v>18.130000000000003</s:v>
      </s:c>
    </s:row>
    <s:row r="622">
      <s:c r="A622" t="s">
        <s:v>1185</s:v>
      </s:c>
      <s:c r="B622" t="s">
        <s:v>1266</s:v>
      </s:c>
      <s:c r="C622" t="s">
        <s:v>1267</s:v>
      </s:c>
      <s:c r="D622">
        <s:v>16.3</s:v>
      </s:c>
      <s:c r="E622">
        <s:f>D622*3.5*70/200</s:f>
        <s:v>19.967500000000001</s:v>
      </s:c>
    </s:row>
    <s:row r="623">
      <s:c r="A623" t="s">
        <s:v>1185</s:v>
      </s:c>
      <s:c r="B623" t="s">
        <s:v>1268</s:v>
      </s:c>
      <s:c r="C623" t="s">
        <s:v>1269</s:v>
      </s:c>
      <s:c r="D623">
        <s:v>16</s:v>
      </s:c>
      <s:c r="E623">
        <s:f>D623*3.5*70/200</s:f>
        <s:v>19.600000000000001</s:v>
      </s:c>
    </s:row>
    <s:row r="624">
      <s:c r="A624" t="s">
        <s:v>1185</s:v>
      </s:c>
      <s:c r="B624" t="s">
        <s:v>1270</s:v>
      </s:c>
      <s:c r="C624" t="s">
        <s:v>1271</s:v>
      </s:c>
      <s:c r="D624">
        <s:v>5.8</s:v>
      </s:c>
      <s:c r="E624">
        <s:f>D624*3.5*70/200</s:f>
        <s:v>7.1050000000000004</s:v>
      </s:c>
    </s:row>
    <s:row r="625">
      <s:c r="A625" t="s">
        <s:v>1185</s:v>
      </s:c>
      <s:c r="B625" t="s">
        <s:v>1272</s:v>
      </s:c>
      <s:c r="C625" t="s">
        <s:v>1273</s:v>
      </s:c>
      <s:c r="D625">
        <s:v>7.5</s:v>
      </s:c>
      <s:c r="E625">
        <s:f>D625*3.5*70/200</s:f>
        <s:v>9.1875</s:v>
      </s:c>
    </s:row>
    <s:row r="626">
      <s:c r="A626" t="s">
        <s:v>1185</s:v>
      </s:c>
      <s:c r="B626" t="s">
        <s:v>1274</s:v>
      </s:c>
      <s:c r="C626" t="s">
        <s:v>1275</s:v>
      </s:c>
      <s:c r="D626">
        <s:v>9</s:v>
      </s:c>
      <s:c r="E626">
        <s:f>D626*3.5*70/200</s:f>
        <s:v>11.025</s:v>
      </s:c>
    </s:row>
    <s:row r="627">
      <s:c r="A627" t="s">
        <s:v>1185</s:v>
      </s:c>
      <s:c r="B627" t="s">
        <s:v>1276</s:v>
      </s:c>
      <s:c r="C627" t="s">
        <s:v>1277</s:v>
      </s:c>
      <s:c r="D627">
        <s:v>9.3000000000000007</s:v>
      </s:c>
      <s:c r="E627">
        <s:f>D627*3.5*70/200</s:f>
        <s:v>11.392500000000002</s:v>
      </s:c>
    </s:row>
    <s:row r="628">
      <s:c r="A628" t="s">
        <s:v>1185</s:v>
      </s:c>
      <s:c r="B628" t="s">
        <s:v>1278</s:v>
      </s:c>
      <s:c r="C628" t="s">
        <s:v>1279</s:v>
      </s:c>
      <s:c r="D628">
        <s:v>13.8</s:v>
      </s:c>
      <s:c r="E628">
        <s:f>D628*3.5*70/200</s:f>
        <s:v>16.905000000000001</s:v>
      </s:c>
    </s:row>
    <s:row r="629">
      <s:c r="A629" t="s">
        <s:v>1185</s:v>
      </s:c>
      <s:c r="B629" t="s">
        <s:v>1280</s:v>
      </s:c>
      <s:c r="C629" t="s">
        <s:v>1281</s:v>
      </s:c>
      <s:c r="D629">
        <s:v>5.3</s:v>
      </s:c>
      <s:c r="E629">
        <s:f>D629*3.5*70/200</s:f>
        <s:v>6.4924999999999997</s:v>
      </s:c>
    </s:row>
    <s:row r="630">
      <s:c r="A630" t="s">
        <s:v>1185</s:v>
      </s:c>
      <s:c r="B630" t="s">
        <s:v>1282</s:v>
      </s:c>
      <s:c r="C630" t="s">
        <s:v>1283</s:v>
      </s:c>
      <s:c r="D630">
        <s:v>6.5</s:v>
      </s:c>
      <s:c r="E630">
        <s:f>D630*3.5*70/200</s:f>
        <s:v>7.9625000000000004</s:v>
      </s:c>
    </s:row>
    <s:row r="631">
      <s:c r="A631" t="s">
        <s:v>1185</s:v>
      </s:c>
      <s:c r="B631" t="s">
        <s:v>1284</s:v>
      </s:c>
      <s:c r="C631" t="s">
        <s:v>1285</s:v>
      </s:c>
      <s:c r="D631">
        <s:v>11</s:v>
      </s:c>
      <s:c r="E631">
        <s:f>D631*3.5*70/200</s:f>
        <s:v>13.475</s:v>
      </s:c>
    </s:row>
    <s:row r="632">
      <s:c r="A632" t="s">
        <s:v>1185</s:v>
      </s:c>
      <s:c r="B632" t="s">
        <s:v>1286</s:v>
      </s:c>
      <s:c r="C632" t="s">
        <s:v>1287</s:v>
      </s:c>
      <s:c r="D632">
        <s:v>12</s:v>
      </s:c>
      <s:c r="E632">
        <s:f>D632*3.5*70/200</s:f>
        <s:v>14.7</s:v>
      </s:c>
    </s:row>
    <s:row r="633">
      <s:c r="A633" t="s">
        <s:v>1185</s:v>
      </s:c>
      <s:c r="B633" t="s">
        <s:v>1288</s:v>
      </s:c>
      <s:c r="C633" t="s">
        <s:v>1289</s:v>
      </s:c>
      <s:c r="D633">
        <s:v>14</s:v>
      </s:c>
      <s:c r="E633">
        <s:f>D633*3.5*70/200</s:f>
        <s:v>17.149999999999999</s:v>
      </s:c>
    </s:row>
    <s:row r="634">
      <s:c r="A634" t="s">
        <s:v>1185</s:v>
      </s:c>
      <s:c r="B634" t="s">
        <s:v>1290</s:v>
      </s:c>
      <s:c r="C634" t="s">
        <s:v>1291</s:v>
      </s:c>
      <s:c r="D634">
        <s:v>16.8</s:v>
      </s:c>
      <s:c r="E634">
        <s:f>D634*3.5*70/200</s:f>
        <s:v>20.58</s:v>
      </s:c>
    </s:row>
    <s:row r="635">
      <s:c r="A635" t="s">
        <s:v>1185</s:v>
      </s:c>
      <s:c r="B635" t="s">
        <s:v>1292</s:v>
      </s:c>
      <s:c r="C635" t="s">
        <s:v>1293</s:v>
      </s:c>
      <s:c r="D635">
        <s:v>8.5</s:v>
      </s:c>
      <s:c r="E635">
        <s:f>D635*3.5*70/200</s:f>
        <s:v>10.4125</s:v>
      </s:c>
    </s:row>
    <s:row r="636">
      <s:c r="A636" t="s">
        <s:v>1185</s:v>
      </s:c>
      <s:c r="B636" t="s">
        <s:v>1294</s:v>
      </s:c>
      <s:c r="C636" t="s">
        <s:v>1295</s:v>
      </s:c>
      <s:c r="D636">
        <s:v>9.5</s:v>
      </s:c>
      <s:c r="E636">
        <s:f>D636*3.5*70/200</s:f>
        <s:v>11.637499999999999</s:v>
      </s:c>
    </s:row>
    <s:row r="637">
      <s:c r="A637" t="s">
        <s:v>1185</s:v>
      </s:c>
      <s:c r="B637" t="s">
        <s:v>1296</s:v>
      </s:c>
      <s:c r="C637" t="s">
        <s:v>1297</s:v>
      </s:c>
      <s:c r="D637">
        <s:v>9.8000000000000007</s:v>
      </s:c>
      <s:c r="E637">
        <s:f>D637*3.5*70/200</s:f>
        <s:v>12.005000000000003</s:v>
      </s:c>
    </s:row>
    <s:row r="638">
      <s:c r="A638" t="s">
        <s:v>1185</s:v>
      </s:c>
      <s:c r="B638" t="s">
        <s:v>1298</s:v>
      </s:c>
      <s:c r="C638" t="s">
        <s:v>1299</s:v>
      </s:c>
      <s:c r="D638">
        <s:v>12</s:v>
      </s:c>
      <s:c r="E638">
        <s:f>D638*3.5*70/200</s:f>
        <s:v>14.7</s:v>
      </s:c>
    </s:row>
    <s:row r="639">
      <s:c r="A639" t="s">
        <s:v>1185</s:v>
      </s:c>
      <s:c r="B639" t="s">
        <s:v>1300</s:v>
      </s:c>
      <s:c r="C639" t="s">
        <s:v>1301</s:v>
      </s:c>
      <s:c r="D639">
        <s:v>7.8</s:v>
      </s:c>
      <s:c r="E639">
        <s:f>D639*3.5*70/200</s:f>
        <s:v>9.5549999999999997</s:v>
      </s:c>
    </s:row>
    <s:row r="640">
      <s:c r="A640" t="s">
        <s:v>1185</s:v>
      </s:c>
      <s:c r="B640" t="s">
        <s:v>1302</s:v>
      </s:c>
      <s:c r="C640" t="s">
        <s:v>1303</s:v>
      </s:c>
      <s:c r="D640">
        <s:v>12</s:v>
      </s:c>
      <s:c r="E640">
        <s:f>D640*3.5*70/200</s:f>
        <s:v>14.7</s:v>
      </s:c>
    </s:row>
    <s:row r="641">
      <s:c r="A641" t="s">
        <s:v>1185</s:v>
      </s:c>
      <s:c r="B641" t="s">
        <s:v>1304</s:v>
      </s:c>
      <s:c r="C641" t="s">
        <s:v>1305</s:v>
      </s:c>
      <s:c r="D641">
        <s:v>13.5</s:v>
      </s:c>
      <s:c r="E641">
        <s:f>D641*3.5*70/200</s:f>
        <s:v>16.537500000000001</s:v>
      </s:c>
    </s:row>
    <s:row r="642">
      <s:c r="A642" t="s">
        <s:v>1185</s:v>
      </s:c>
      <s:c r="B642" t="s">
        <s:v>1306</s:v>
      </s:c>
      <s:c r="C642" t="s">
        <s:v>1307</s:v>
      </s:c>
      <s:c r="D642">
        <s:v>8</s:v>
      </s:c>
      <s:c r="E642">
        <s:f>D642*3.5*70/200</s:f>
        <s:v>9.8000000000000007</s:v>
      </s:c>
    </s:row>
    <s:row r="643">
      <s:c r="A643" t="s">
        <s:v>1185</s:v>
      </s:c>
      <s:c r="B643" t="s">
        <s:v>1308</s:v>
      </s:c>
      <s:c r="C643" t="s">
        <s:v>1309</s:v>
      </s:c>
      <s:c r="D643">
        <s:v>9</s:v>
      </s:c>
      <s:c r="E643">
        <s:f>D643*3.5*70/200</s:f>
        <s:v>11.025</s:v>
      </s:c>
    </s:row>
    <s:row r="644">
      <s:c r="A644" t="s">
        <s:v>1185</s:v>
      </s:c>
      <s:c r="B644" t="s">
        <s:v>1310</s:v>
      </s:c>
      <s:c r="C644" t="s">
        <s:v>1311</s:v>
      </s:c>
      <s:c r="D644">
        <s:v>10</s:v>
      </s:c>
      <s:c r="E644">
        <s:f>D644*3.5*70/200</s:f>
        <s:v>12.25</s:v>
      </s:c>
    </s:row>
    <s:row r="645">
      <s:c r="A645" t="s">
        <s:v>1185</s:v>
      </s:c>
      <s:c r="B645" t="s">
        <s:v>1312</s:v>
      </s:c>
      <s:c r="C645" t="s">
        <s:v>1313</s:v>
      </s:c>
      <s:c r="D645">
        <s:v>11.5</s:v>
      </s:c>
      <s:c r="E645">
        <s:f>D645*3.5*70/200</s:f>
        <s:v>14.0875</s:v>
      </s:c>
    </s:row>
    <s:row r="646">
      <s:c r="A646" t="s">
        <s:v>1185</s:v>
      </s:c>
      <s:c r="B646" t="s">
        <s:v>1314</s:v>
      </s:c>
      <s:c r="C646" t="s">
        <s:v>1315</s:v>
      </s:c>
      <s:c r="D646">
        <s:v>11.5</s:v>
      </s:c>
      <s:c r="E646">
        <s:f>D646*3.5*70/200</s:f>
        <s:v>14.0875</s:v>
      </s:c>
    </s:row>
    <s:row r="647">
      <s:c r="A647" t="s">
        <s:v>1185</s:v>
      </s:c>
      <s:c r="B647" t="s">
        <s:v>1316</s:v>
      </s:c>
      <s:c r="C647" t="s">
        <s:v>1317</s:v>
      </s:c>
      <s:c r="D647">
        <s:v>13</s:v>
      </s:c>
      <s:c r="E647">
        <s:f>D647*3.5*70/200</s:f>
        <s:v>15.925000000000001</s:v>
      </s:c>
    </s:row>
    <s:row r="648">
      <s:c r="A648" t="s">
        <s:v>1318</s:v>
      </s:c>
      <s:c r="B648" t="s">
        <s:v>1319</s:v>
      </s:c>
      <s:c r="C648" t="s">
        <s:v>1320</s:v>
      </s:c>
      <s:c r="D648">
        <s:v>2.2999999999999998</s:v>
      </s:c>
      <s:c r="E648">
        <s:f>D648*3.5*70/200</s:f>
        <s:v>2.8174999999999994</s:v>
      </s:c>
    </s:row>
    <s:row r="649">
      <s:c r="A649" t="s">
        <s:v>1318</s:v>
      </s:c>
      <s:c r="B649" t="s">
        <s:v>1321</s:v>
      </s:c>
      <s:c r="C649" t="s">
        <s:v>1322</s:v>
      </s:c>
      <s:c r="D649">
        <s:v>2.2999999999999998</s:v>
      </s:c>
      <s:c r="E649">
        <s:f>D649*3.5*70/200</s:f>
        <s:v>2.8174999999999994</s:v>
      </s:c>
    </s:row>
    <s:row r="650">
      <s:c r="A650" t="s">
        <s:v>1318</s:v>
      </s:c>
      <s:c r="B650" t="s">
        <s:v>1323</s:v>
      </s:c>
      <s:c r="C650" t="s">
        <s:v>1324</s:v>
      </s:c>
      <s:c r="D650">
        <s:v>1.5</s:v>
      </s:c>
      <s:c r="E650">
        <s:f>D650*3.5*70/200</s:f>
        <s:v>1.8374999999999999</s:v>
      </s:c>
    </s:row>
    <s:row r="651">
      <s:c r="A651" t="s">
        <s:v>1318</s:v>
      </s:c>
      <s:c r="B651" t="s">
        <s:v>1325</s:v>
      </s:c>
      <s:c r="C651" t="s">
        <s:v>1326</s:v>
      </s:c>
      <s:c r="D651">
        <s:v>2.8</s:v>
      </s:c>
      <s:c r="E651">
        <s:f>D651*3.5*70/200</s:f>
        <s:v>3.4299999999999993</s:v>
      </s:c>
    </s:row>
    <s:row r="652">
      <s:c r="A652" t="s">
        <s:v>1318</s:v>
      </s:c>
      <s:c r="B652" t="s">
        <s:v>1327</s:v>
      </s:c>
      <s:c r="C652" t="s">
        <s:v>1328</s:v>
      </s:c>
      <s:c r="D652">
        <s:v>1.5</s:v>
      </s:c>
      <s:c r="E652">
        <s:f>D652*3.5*70/200</s:f>
        <s:v>1.8374999999999999</s:v>
      </s:c>
    </s:row>
    <s:row r="653">
      <s:c r="A653" t="s">
        <s:v>1318</s:v>
      </s:c>
      <s:c r="B653" t="s">
        <s:v>1329</s:v>
      </s:c>
      <s:c r="C653" t="s">
        <s:v>1330</s:v>
      </s:c>
      <s:c r="D653">
        <s:v>2</s:v>
      </s:c>
      <s:c r="E653">
        <s:f>D653*3.5*70/200</s:f>
        <s:v>2.4500000000000002</s:v>
      </s:c>
    </s:row>
    <s:row r="654">
      <s:c r="A654" t="s">
        <s:v>1318</s:v>
      </s:c>
      <s:c r="B654" t="s">
        <s:v>1331</s:v>
      </s:c>
      <s:c r="C654" t="s">
        <s:v>1332</s:v>
      </s:c>
      <s:c r="D654">
        <s:v>1.5</s:v>
      </s:c>
      <s:c r="E654">
        <s:f>D654*3.5*70/200</s:f>
        <s:v>1.8374999999999999</s:v>
      </s:c>
    </s:row>
    <s:row r="655">
      <s:c r="A655" t="s">
        <s:v>1318</s:v>
      </s:c>
      <s:c r="B655" t="s">
        <s:v>1333</s:v>
      </s:c>
      <s:c r="C655" t="s">
        <s:v>1334</s:v>
      </s:c>
      <s:c r="D655">
        <s:v>2</s:v>
      </s:c>
      <s:c r="E655">
        <s:f>D655*3.5*70/200</s:f>
        <s:v>2.4500000000000002</s:v>
      </s:c>
    </s:row>
    <s:row r="656">
      <s:c r="A656" t="s">
        <s:v>1318</s:v>
      </s:c>
      <s:c r="B656" t="s">
        <s:v>1335</s:v>
      </s:c>
      <s:c r="C656" t="s">
        <s:v>1336</s:v>
      </s:c>
      <s:c r="D656">
        <s:v>2.5</s:v>
      </s:c>
      <s:c r="E656">
        <s:f>D656*3.5*70/200</s:f>
        <s:v>3.0625</s:v>
      </s:c>
    </s:row>
    <s:row r="657">
      <s:c r="A657" t="s">
        <s:v>1318</s:v>
      </s:c>
      <s:c r="B657" t="s">
        <s:v>1337</s:v>
      </s:c>
      <s:c r="C657" t="s">
        <s:v>1338</s:v>
      </s:c>
      <s:c r="D657">
        <s:v>1.3</s:v>
      </s:c>
      <s:c r="E657">
        <s:f>D657*3.5*70/200</s:f>
        <s:v>1.5925</s:v>
      </s:c>
    </s:row>
    <s:row r="658">
      <s:c r="A658" t="s">
        <s:v>1318</s:v>
      </s:c>
      <s:c r="B658" t="s">
        <s:v>1339</s:v>
      </s:c>
      <s:c r="C658" t="s">
        <s:v>1340</s:v>
      </s:c>
      <s:c r="D658">
        <s:v>2</s:v>
      </s:c>
      <s:c r="E658">
        <s:f>D658*3.5*70/200</s:f>
        <s:v>2.4500000000000002</s:v>
      </s:c>
    </s:row>
    <s:row r="659">
      <s:c r="A659" t="s">
        <s:v>1341</s:v>
      </s:c>
      <s:c r="B659" t="s">
        <s:v>1342</s:v>
      </s:c>
      <s:c r="C659" t="s">
        <s:v>1343</s:v>
      </s:c>
      <s:c r="D659">
        <s:v>5.8</s:v>
      </s:c>
      <s:c r="E659">
        <s:f>D659*3.5*70/200</s:f>
        <s:v>7.1050000000000004</s:v>
      </s:c>
    </s:row>
    <s:row r="660">
      <s:c r="A660" t="s">
        <s:v>1341</s:v>
      </s:c>
      <s:c r="B660" t="s">
        <s:v>1344</s:v>
      </s:c>
      <s:c r="C660" t="s">
        <s:v>1345</s:v>
      </s:c>
      <s:c r="D660">
        <s:v>3</s:v>
      </s:c>
      <s:c r="E660">
        <s:f>D660*3.5*70/200</s:f>
        <s:v>3.6749999999999998</s:v>
      </s:c>
    </s:row>
    <s:row r="661">
      <s:c r="A661" t="s">
        <s:v>1341</s:v>
      </s:c>
      <s:c r="B661" t="s">
        <s:v>1346</s:v>
      </s:c>
      <s:c r="C661" t="s">
        <s:v>1347</s:v>
      </s:c>
      <s:c r="D661">
        <s:v>1.8</s:v>
      </s:c>
      <s:c r="E661">
        <s:f>D661*3.5*70/200</s:f>
        <s:v>2.2050000000000001</s:v>
      </s:c>
    </s:row>
    <s:row r="662">
      <s:c r="A662" t="s">
        <s:v>1348</s:v>
      </s:c>
      <s:c r="B662" t="s">
        <s:v>1349</s:v>
      </s:c>
      <s:c r="C662" t="s">
        <s:v>1350</s:v>
      </s:c>
      <s:c r="D662">
        <s:v>5.5</s:v>
      </s:c>
      <s:c r="E662">
        <s:f>D662*3.5*70/200</s:f>
        <s:v>6.7374999999999998</s:v>
      </s:c>
    </s:row>
    <s:row r="663">
      <s:c r="A663" t="s">
        <s:v>1348</s:v>
      </s:c>
      <s:c r="B663" t="s">
        <s:v>1351</s:v>
      </s:c>
      <s:c r="C663" t="s">
        <s:v>1352</s:v>
      </s:c>
      <s:c r="D663">
        <s:v>4.3</s:v>
      </s:c>
      <s:c r="E663">
        <s:f>D663*3.5*70/200</s:f>
        <s:v>5.2675000000000001</s:v>
      </s:c>
    </s:row>
    <s:row r="664">
      <s:c r="A664" t="s">
        <s:v>1348</s:v>
      </s:c>
      <s:c r="B664" t="s">
        <s:v>1353</s:v>
      </s:c>
      <s:c r="C664" t="s">
        <s:v>1354</s:v>
      </s:c>
      <s:c r="D664">
        <s:v>7</s:v>
      </s:c>
      <s:c r="E664">
        <s:f>D664*3.5*70/200</s:f>
        <s:v>8.5749999999999993</s:v>
      </s:c>
    </s:row>
    <s:row r="665">
      <s:c r="A665" t="s">
        <s:v>1348</s:v>
      </s:c>
      <s:c r="B665" t="s">
        <s:v>1355</s:v>
      </s:c>
      <s:c r="C665" t="s">
        <s:v>1356</s:v>
      </s:c>
      <s:c r="D665">
        <s:v>9</s:v>
      </s:c>
      <s:c r="E665">
        <s:f>D665*3.5*70/200</s:f>
        <s:v>11.025</s:v>
      </s:c>
    </s:row>
    <s:row r="666">
      <s:c r="A666" t="s">
        <s:v>1348</s:v>
      </s:c>
      <s:c r="B666" t="s">
        <s:v>1357</s:v>
      </s:c>
      <s:c r="C666" t="s">
        <s:v>1358</s:v>
      </s:c>
      <s:c r="D666">
        <s:v>5.5</s:v>
      </s:c>
      <s:c r="E666">
        <s:f>D666*3.5*70/200</s:f>
        <s:v>6.7374999999999998</s:v>
      </s:c>
    </s:row>
    <s:row r="667">
      <s:c r="A667" t="s">
        <s:v>1348</s:v>
      </s:c>
      <s:c r="B667" t="s">
        <s:v>1359</s:v>
      </s:c>
      <s:c r="C667" t="s">
        <s:v>1360</s:v>
      </s:c>
      <s:c r="D667">
        <s:v>8</s:v>
      </s:c>
      <s:c r="E667">
        <s:f>D667*3.5*70/200</s:f>
        <s:v>9.8000000000000007</s:v>
      </s:c>
    </s:row>
    <s:row r="668">
      <s:c r="A668" t="s">
        <s:v>1348</s:v>
      </s:c>
      <s:c r="B668" t="s">
        <s:v>1361</s:v>
      </s:c>
      <s:c r="C668" t="s">
        <s:v>1362</s:v>
      </s:c>
      <s:c r="D668">
        <s:v>6</s:v>
      </s:c>
      <s:c r="E668">
        <s:f>D668*3.5*70/200</s:f>
        <s:v>7.35</s:v>
      </s:c>
    </s:row>
    <s:row r="669">
      <s:c r="A669" t="s">
        <s:v>1348</s:v>
      </s:c>
      <s:c r="B669" t="s">
        <s:v>1363</s:v>
      </s:c>
      <s:c r="C669" t="s">
        <s:v>1364</s:v>
      </s:c>
      <s:c r="D669">
        <s:v>7.5</s:v>
      </s:c>
      <s:c r="E669">
        <s:f>D669*3.5*70/200</s:f>
        <s:v>9.1875</s:v>
      </s:c>
    </s:row>
    <s:row r="670">
      <s:c r="A670" t="s">
        <s:v>1348</s:v>
      </s:c>
      <s:c r="B670" t="s">
        <s:v>1365</s:v>
      </s:c>
      <s:c r="C670" t="s">
        <s:v>1366</s:v>
      </s:c>
      <s:c r="D670">
        <s:v>7</s:v>
      </s:c>
      <s:c r="E670">
        <s:f>D670*3.5*70/200</s:f>
        <s:v>8.5749999999999993</s:v>
      </s:c>
    </s:row>
    <s:row r="671">
      <s:c r="A671" t="s">
        <s:v>1348</s:v>
      </s:c>
      <s:c r="B671" t="s">
        <s:v>1367</s:v>
      </s:c>
      <s:c r="C671" t="s">
        <s:v>1368</s:v>
      </s:c>
      <s:c r="D671">
        <s:v>5.8</s:v>
      </s:c>
      <s:c r="E671">
        <s:f>D671*3.5*70/200</s:f>
        <s:v>7.1050000000000004</s:v>
      </s:c>
    </s:row>
    <s:row r="672">
      <s:c r="A672" t="s">
        <s:v>1348</s:v>
      </s:c>
      <s:c r="B672" t="s">
        <s:v>1369</s:v>
      </s:c>
      <s:c r="C672" t="s">
        <s:v>1370</s:v>
      </s:c>
      <s:c r="D672">
        <s:v>5</s:v>
      </s:c>
      <s:c r="E672">
        <s:f>D672*3.5*70/200</s:f>
        <s:v>6.125</s:v>
      </s:c>
    </s:row>
    <s:row r="673">
      <s:c r="A673" t="s">
        <s:v>1348</s:v>
      </s:c>
      <s:c r="B673" t="s">
        <s:v>1371</s:v>
      </s:c>
      <s:c r="C673" t="s">
        <s:v>1372</s:v>
      </s:c>
      <s:c r="D673">
        <s:v>9.3000000000000007</s:v>
      </s:c>
      <s:c r="E673">
        <s:f>D673*3.5*70/200</s:f>
        <s:v>11.392500000000002</s:v>
      </s:c>
    </s:row>
    <s:row r="674">
      <s:c r="A674" t="s">
        <s:v>1348</s:v>
      </s:c>
      <s:c r="B674" t="s">
        <s:v>1373</s:v>
      </s:c>
      <s:c r="C674" t="s">
        <s:v>1374</s:v>
      </s:c>
      <s:c r="D674">
        <s:v>2.5</s:v>
      </s:c>
      <s:c r="E674">
        <s:f>D674*3.5*70/200</s:f>
        <s:v>3.0625</s:v>
      </s:c>
    </s:row>
    <s:row r="675">
      <s:c r="A675" t="s">
        <s:v>1348</s:v>
      </s:c>
      <s:c r="B675" t="s">
        <s:v>1375</s:v>
      </s:c>
      <s:c r="C675" t="s">
        <s:v>1376</s:v>
      </s:c>
      <s:c r="D675">
        <s:v>3</s:v>
      </s:c>
      <s:c r="E675">
        <s:f>D675*3.5*70/200</s:f>
        <s:v>3.6749999999999998</s:v>
      </s:c>
    </s:row>
    <s:row r="676">
      <s:c r="A676" t="s">
        <s:v>1348</s:v>
      </s:c>
      <s:c r="B676" t="s">
        <s:v>1377</s:v>
      </s:c>
      <s:c r="C676" t="s">
        <s:v>1378</s:v>
      </s:c>
      <s:c r="D676">
        <s:v>3.8</s:v>
      </s:c>
      <s:c r="E676">
        <s:f>D676*3.5*70/200</s:f>
        <s:v>4.6549999999999994</s:v>
      </s:c>
    </s:row>
    <s:row r="677">
      <s:c r="A677" t="s">
        <s:v>1348</s:v>
      </s:c>
      <s:c r="B677" t="s">
        <s:v>1379</s:v>
      </s:c>
      <s:c r="C677" t="s">
        <s:v>1380</s:v>
      </s:c>
      <s:c r="D677">
        <s:v>12.3</s:v>
      </s:c>
      <s:c r="E677">
        <s:f>D677*3.5*70/200</s:f>
        <s:v>15.067500000000003</s:v>
      </s:c>
    </s:row>
    <s:row r="678">
      <s:c r="A678" t="s">
        <s:v>1348</s:v>
      </s:c>
      <s:c r="B678" t="s">
        <s:v>1381</s:v>
      </s:c>
      <s:c r="C678" t="s">
        <s:v>1382</s:v>
      </s:c>
      <s:c r="D678">
        <s:v>5.8</s:v>
      </s:c>
      <s:c r="E678">
        <s:f>D678*3.5*70/200</s:f>
        <s:v>7.1050000000000004</s:v>
      </s:c>
    </s:row>
    <s:row r="679">
      <s:c r="A679" t="s">
        <s:v>1348</s:v>
      </s:c>
      <s:c r="B679" t="s">
        <s:v>1383</s:v>
      </s:c>
      <s:c r="C679" t="s">
        <s:v>1384</s:v>
      </s:c>
      <s:c r="D679">
        <s:v>7</s:v>
      </s:c>
      <s:c r="E679">
        <s:f>D679*3.5*70/200</s:f>
        <s:v>8.5749999999999993</s:v>
      </s:c>
    </s:row>
    <s:row r="680">
      <s:c r="A680" t="s">
        <s:v>1348</s:v>
      </s:c>
      <s:c r="B680" t="s">
        <s:v>1385</s:v>
      </s:c>
      <s:c r="C680" t="s">
        <s:v>1386</s:v>
      </s:c>
      <s:c r="D680">
        <s:v>8.5</s:v>
      </s:c>
      <s:c r="E680">
        <s:f>D680*3.5*70/200</s:f>
        <s:v>10.4125</s:v>
      </s:c>
    </s:row>
    <s:row r="681">
      <s:c r="A681" t="s">
        <s:v>1348</s:v>
      </s:c>
      <s:c r="B681" t="s">
        <s:v>1387</s:v>
      </s:c>
      <s:c r="C681" t="s">
        <s:v>1388</s:v>
      </s:c>
      <s:c r="D681">
        <s:v>10.8</s:v>
      </s:c>
      <s:c r="E681">
        <s:f>D681*3.5*70/200</s:f>
        <s:v>13.230000000000002</s:v>
      </s:c>
    </s:row>
    <s:row r="682">
      <s:c r="A682" t="s">
        <s:v>1348</s:v>
      </s:c>
      <s:c r="B682" t="s">
        <s:v>1389</s:v>
      </s:c>
      <s:c r="C682" t="s">
        <s:v>1390</s:v>
      </s:c>
      <s:c r="D682">
        <s:v>7.8</s:v>
      </s:c>
      <s:c r="E682">
        <s:f>D682*3.5*70/200</s:f>
        <s:v>9.5549999999999997</s:v>
      </s:c>
    </s:row>
    <s:row r="683">
      <s:c r="A683" t="s">
        <s:v>1348</s:v>
      </s:c>
      <s:c r="B683" t="s">
        <s:v>1391</s:v>
      </s:c>
      <s:c r="C683" t="s">
        <s:v>1392</s:v>
      </s:c>
      <s:c r="D683">
        <s:v>9.3000000000000007</s:v>
      </s:c>
      <s:c r="E683">
        <s:f>D683*3.5*70/200</s:f>
        <s:v>11.392500000000002</s:v>
      </s:c>
    </s:row>
    <s:row r="684">
      <s:c r="A684" t="s">
        <s:v>1348</s:v>
      </s:c>
      <s:c r="B684" t="s">
        <s:v>1393</s:v>
      </s:c>
      <s:c r="C684" t="s">
        <s:v>1394</s:v>
      </s:c>
      <s:c r="D684">
        <s:v>7</s:v>
      </s:c>
      <s:c r="E684">
        <s:f>D684*3.5*70/200</s:f>
        <s:v>8.5749999999999993</s:v>
      </s:c>
    </s:row>
    <s:row r="685">
      <s:c r="A685" t="s">
        <s:v>1348</s:v>
      </s:c>
      <s:c r="B685" t="s">
        <s:v>1395</s:v>
      </s:c>
      <s:c r="C685" t="s">
        <s:v>1396</s:v>
      </s:c>
      <s:c r="D685">
        <s:v>5.8</s:v>
      </s:c>
      <s:c r="E685">
        <s:f>D685*3.5*70/200</s:f>
        <s:v>7.1050000000000004</s:v>
      </s:c>
    </s:row>
    <s:row r="686">
      <s:c r="A686" t="s">
        <s:v>1348</s:v>
      </s:c>
      <s:c r="B686" t="s">
        <s:v>1397</s:v>
      </s:c>
      <s:c r="C686" t="s">
        <s:v>1398</s:v>
      </s:c>
      <s:c r="D686">
        <s:v>6</s:v>
      </s:c>
      <s:c r="E686">
        <s:f>D686*3.5*70/200</s:f>
        <s:v>7.35</s:v>
      </s:c>
    </s:row>
    <s:row r="687">
      <s:c r="A687" t="s">
        <s:v>1348</s:v>
      </s:c>
      <s:c r="B687" t="s">
        <s:v>1399</s:v>
      </s:c>
      <s:c r="C687" t="s">
        <s:v>1400</s:v>
      </s:c>
      <s:c r="D687">
        <s:v>4</s:v>
      </s:c>
      <s:c r="E687">
        <s:f>D687*3.5*70/200</s:f>
        <s:v>4.9000000000000004</s:v>
      </s:c>
    </s:row>
    <s:row r="688">
      <s:c r="A688" t="s">
        <s:v>1348</s:v>
      </s:c>
      <s:c r="B688" t="s">
        <s:v>1401</s:v>
      </s:c>
      <s:c r="C688" t="s">
        <s:v>1402</s:v>
      </s:c>
      <s:c r="D688">
        <s:v>8</s:v>
      </s:c>
      <s:c r="E688">
        <s:f>D688*3.5*70/200</s:f>
        <s:v>9.8000000000000007</s:v>
      </s:c>
    </s:row>
    <s:row r="689">
      <s:c r="A689" t="s">
        <s:v>1348</s:v>
      </s:c>
      <s:c r="B689" t="s">
        <s:v>1403</s:v>
      </s:c>
      <s:c r="C689" t="s">
        <s:v>1404</s:v>
      </s:c>
      <s:c r="D689">
        <s:v>4.8</s:v>
      </s:c>
      <s:c r="E689">
        <s:f>D689*3.5*70/200</s:f>
        <s:v>5.88</s:v>
      </s:c>
    </s:row>
    <s:row r="690">
      <s:c r="A690" t="s">
        <s:v>1348</s:v>
      </s:c>
      <s:c r="B690" t="s">
        <s:v>1405</s:v>
      </s:c>
      <s:c r="C690" t="s">
        <s:v>1406</s:v>
      </s:c>
      <s:c r="D690">
        <s:v>3.3</s:v>
      </s:c>
      <s:c r="E690">
        <s:f>D690*3.5*70/200</s:f>
        <s:v>4.0424999999999995</s:v>
      </s:c>
    </s:row>
    <s:row r="691">
      <s:c r="A691" t="s">
        <s:v>1348</s:v>
      </s:c>
      <s:c r="B691" t="s">
        <s:v>1407</s:v>
      </s:c>
      <s:c r="C691" t="s">
        <s:v>1408</s:v>
      </s:c>
      <s:c r="D691">
        <s:v>4</s:v>
      </s:c>
      <s:c r="E691">
        <s:f>D691*3.5*70/200</s:f>
        <s:v>4.9000000000000004</s:v>
      </s:c>
    </s:row>
    <s:row r="692">
      <s:c r="A692" t="s">
        <s:v>1348</s:v>
      </s:c>
      <s:c r="B692" t="s">
        <s:v>1409</s:v>
      </s:c>
      <s:c r="C692" t="s">
        <s:v>1410</s:v>
      </s:c>
      <s:c r="D692">
        <s:v>2.5</s:v>
      </s:c>
      <s:c r="E692">
        <s:f>D692*3.5*70/200</s:f>
        <s:v>3.0625</s:v>
      </s:c>
    </s:row>
    <s:row r="693">
      <s:c r="A693" t="s">
        <s:v>1348</s:v>
      </s:c>
      <s:c r="B693" t="s">
        <s:v>1411</s:v>
      </s:c>
      <s:c r="C693" t="s">
        <s:v>1412</s:v>
      </s:c>
      <s:c r="D693">
        <s:v>6</s:v>
      </s:c>
      <s:c r="E693">
        <s:f>D693*3.5*70/200</s:f>
        <s:v>7.35</s:v>
      </s:c>
    </s:row>
    <s:row r="694">
      <s:c r="A694" t="s">
        <s:v>1348</s:v>
      </s:c>
      <s:c r="B694" t="s">
        <s:v>1413</s:v>
      </s:c>
      <s:c r="C694" t="s">
        <s:v>1414</s:v>
      </s:c>
      <s:c r="D694">
        <s:v>8.5</s:v>
      </s:c>
      <s:c r="E694">
        <s:f>D694*3.5*70/200</s:f>
        <s:v>10.4125</s:v>
      </s:c>
    </s:row>
    <s:row r="695">
      <s:c r="A695" t="s">
        <s:v>1348</s:v>
      </s:c>
      <s:c r="B695" t="s">
        <s:v>1415</s:v>
      </s:c>
      <s:c r="C695" t="s">
        <s:v>1416</s:v>
      </s:c>
      <s:c r="D695">
        <s:v>7.8</s:v>
      </s:c>
      <s:c r="E695">
        <s:f>D695*3.5*70/200</s:f>
        <s:v>9.5549999999999997</s:v>
      </s:c>
    </s:row>
    <s:row r="696">
      <s:c r="A696" t="s">
        <s:v>1348</s:v>
      </s:c>
      <s:c r="B696" t="s">
        <s:v>1417</s:v>
      </s:c>
      <s:c r="C696" t="s">
        <s:v>1418</s:v>
      </s:c>
      <s:c r="D696">
        <s:v>6</s:v>
      </s:c>
      <s:c r="E696">
        <s:f>D696*3.5*70/200</s:f>
        <s:v>7.35</s:v>
      </s:c>
    </s:row>
    <s:row r="697">
      <s:c r="A697" t="s">
        <s:v>1348</s:v>
      </s:c>
      <s:c r="B697" t="s">
        <s:v>1419</s:v>
      </s:c>
      <s:c r="C697" t="s">
        <s:v>1420</s:v>
      </s:c>
      <s:c r="D697">
        <s:v>9.8000000000000007</s:v>
      </s:c>
      <s:c r="E697">
        <s:f>D697*3.5*70/200</s:f>
        <s:v>12.005000000000003</s:v>
      </s:c>
    </s:row>
    <s:row r="698">
      <s:c r="A698" t="s">
        <s:v>1348</s:v>
      </s:c>
      <s:c r="B698" t="s">
        <s:v>1421</s:v>
      </s:c>
      <s:c r="C698" t="s">
        <s:v>1422</s:v>
      </s:c>
      <s:c r="D698">
        <s:v>10.5</s:v>
      </s:c>
      <s:c r="E698">
        <s:f>D698*3.5*70/200</s:f>
        <s:v>12.862500000000001</s:v>
      </s:c>
    </s:row>
    <s:row r="699">
      <s:c r="A699" t="s">
        <s:v>1348</s:v>
      </s:c>
      <s:c r="B699" t="s">
        <s:v>1423</s:v>
      </s:c>
      <s:c r="C699" t="s">
        <s:v>1424</s:v>
      </s:c>
      <s:c r="D699">
        <s:v>8</s:v>
      </s:c>
      <s:c r="E699">
        <s:f>D699*3.5*70/200</s:f>
        <s:v>9.8000000000000007</s:v>
      </s:c>
    </s:row>
    <s:row r="700">
      <s:c r="A700" t="s">
        <s:v>1348</s:v>
      </s:c>
      <s:c r="B700" t="s">
        <s:v>1425</s:v>
      </s:c>
      <s:c r="C700" t="s">
        <s:v>1426</s:v>
      </s:c>
      <s:c r="D700">
        <s:v>8</s:v>
      </s:c>
      <s:c r="E700">
        <s:f>D700*3.5*70/200</s:f>
        <s:v>9.8000000000000007</s:v>
      </s:c>
    </s:row>
    <s:row r="701">
      <s:c r="A701" t="s">
        <s:v>1348</s:v>
      </s:c>
      <s:c r="B701" t="s">
        <s:v>1427</s:v>
      </s:c>
      <s:c r="C701" t="s">
        <s:v>1428</s:v>
      </s:c>
      <s:c r="D701">
        <s:v>4</s:v>
      </s:c>
      <s:c r="E701">
        <s:f>D701*3.5*70/200</s:f>
        <s:v>4.9000000000000004</s:v>
      </s:c>
    </s:row>
    <s:row r="702">
      <s:c r="A702" t="s">
        <s:v>1348</s:v>
      </s:c>
      <s:c r="B702" t="s">
        <s:v>1429</s:v>
      </s:c>
      <s:c r="C702" t="s">
        <s:v>1430</s:v>
      </s:c>
      <s:c r="D702">
        <s:v>2.5</s:v>
      </s:c>
      <s:c r="E702">
        <s:f>D702*3.5*70/200</s:f>
        <s:v>3.0625</s:v>
      </s:c>
    </s:row>
    <s:row r="703">
      <s:c r="A703" t="s">
        <s:v>1348</s:v>
      </s:c>
      <s:c r="B703" t="s">
        <s:v>1431</s:v>
      </s:c>
      <s:c r="C703" t="s">
        <s:v>1432</s:v>
      </s:c>
      <s:c r="D703">
        <s:v>3</s:v>
      </s:c>
      <s:c r="E703">
        <s:f>D703*3.5*70/200</s:f>
        <s:v>3.6749999999999998</s:v>
      </s:c>
    </s:row>
    <s:row r="704">
      <s:c r="A704" t="s">
        <s:v>1348</s:v>
      </s:c>
      <s:c r="B704" t="s">
        <s:v>1433</s:v>
      </s:c>
      <s:c r="C704" t="s">
        <s:v>1434</s:v>
      </s:c>
      <s:c r="D704">
        <s:v>8</s:v>
      </s:c>
      <s:c r="E704">
        <s:f>D704*3.5*70/200</s:f>
        <s:v>9.8000000000000007</s:v>
      </s:c>
    </s:row>
    <s:row r="705">
      <s:c r="A705" t="s">
        <s:v>1348</s:v>
      </s:c>
      <s:c r="B705" t="s">
        <s:v>1435</s:v>
      </s:c>
      <s:c r="C705" t="s">
        <s:v>1436</s:v>
      </s:c>
      <s:c r="D705">
        <s:v>3.8</s:v>
      </s:c>
      <s:c r="E705">
        <s:f>D705*3.5*70/200</s:f>
        <s:v>4.6549999999999994</s:v>
      </s:c>
    </s:row>
    <s:row r="706">
      <s:c r="A706" t="s">
        <s:v>1348</s:v>
      </s:c>
      <s:c r="B706" t="s">
        <s:v>1437</s:v>
      </s:c>
      <s:c r="C706" t="s">
        <s:v>1438</s:v>
      </s:c>
      <s:c r="D706">
        <s:v>4.5</s:v>
      </s:c>
      <s:c r="E706">
        <s:f>D706*3.5*70/200</s:f>
        <s:v>5.5125000000000002</s:v>
      </s:c>
    </s:row>
    <s:row r="707">
      <s:c r="A707" t="s">
        <s:v>1348</s:v>
      </s:c>
      <s:c r="B707" t="s">
        <s:v>1439</s:v>
      </s:c>
      <s:c r="C707" t="s">
        <s:v>1440</s:v>
      </s:c>
      <s:c r="D707">
        <s:v>4.3</s:v>
      </s:c>
      <s:c r="E707">
        <s:f>D707*3.5*70/200</s:f>
        <s:v>5.2675000000000001</s:v>
      </s:c>
    </s:row>
    <s:row r="708">
      <s:c r="A708" t="s">
        <s:v>1348</s:v>
      </s:c>
      <s:c r="B708" t="s">
        <s:v>1441</s:v>
      </s:c>
      <s:c r="C708" t="s">
        <s:v>1442</s:v>
      </s:c>
      <s:c r="D708">
        <s:v>3.5</s:v>
      </s:c>
      <s:c r="E708">
        <s:f>D708*3.5*70/200</s:f>
        <s:v>4.2874999999999996</s:v>
      </s:c>
    </s:row>
    <s:row r="709">
      <s:c r="A709" t="s">
        <s:v>1348</s:v>
      </s:c>
      <s:c r="B709" t="s">
        <s:v>1443</s:v>
      </s:c>
      <s:c r="C709" t="s">
        <s:v>1444</s:v>
      </s:c>
      <s:c r="D709">
        <s:v>4.5</s:v>
      </s:c>
      <s:c r="E709">
        <s:f>D709*3.5*70/200</s:f>
        <s:v>5.5125000000000002</s:v>
      </s:c>
    </s:row>
    <s:row r="710">
      <s:c r="A710" t="s">
        <s:v>1348</s:v>
      </s:c>
      <s:c r="B710" t="s">
        <s:v>1445</s:v>
      </s:c>
      <s:c r="C710" t="s">
        <s:v>1446</s:v>
      </s:c>
      <s:c r="D710">
        <s:v>3.5</s:v>
      </s:c>
      <s:c r="E710">
        <s:f>D710*3.5*70/200</s:f>
        <s:v>4.2874999999999996</s:v>
      </s:c>
    </s:row>
    <s:row r="711">
      <s:c r="A711" t="s">
        <s:v>1348</s:v>
      </s:c>
      <s:c r="B711" t="s">
        <s:v>1447</s:v>
      </s:c>
      <s:c r="C711" t="s">
        <s:v>1448</s:v>
      </s:c>
      <s:c r="D711">
        <s:v>3.8</s:v>
      </s:c>
      <s:c r="E711">
        <s:f>D711*3.5*70/200</s:f>
        <s:v>4.6549999999999994</s:v>
      </s:c>
    </s:row>
    <s:row r="712">
      <s:c r="A712" t="s">
        <s:v>1348</s:v>
      </s:c>
      <s:c r="B712" t="s">
        <s:v>1449</s:v>
      </s:c>
      <s:c r="C712" t="s">
        <s:v>1450</s:v>
      </s:c>
      <s:c r="D712">
        <s:v>4</s:v>
      </s:c>
      <s:c r="E712">
        <s:f>D712*3.5*70/200</s:f>
        <s:v>4.9000000000000004</s:v>
      </s:c>
    </s:row>
    <s:row r="713">
      <s:c r="A713" t="s">
        <s:v>1348</s:v>
      </s:c>
      <s:c r="B713" t="s">
        <s:v>1451</s:v>
      </s:c>
      <s:c r="C713" t="s">
        <s:v>1452</s:v>
      </s:c>
      <s:c r="D713">
        <s:v>12</s:v>
      </s:c>
      <s:c r="E713">
        <s:f>D713*3.5*70/200</s:f>
        <s:v>14.7</s:v>
      </s:c>
    </s:row>
    <s:row r="714">
      <s:c r="A714" t="s">
        <s:v>1348</s:v>
      </s:c>
      <s:c r="B714" t="s">
        <s:v>1453</s:v>
      </s:c>
      <s:c r="C714" t="s">
        <s:v>1454</s:v>
      </s:c>
      <s:c r="D714">
        <s:v>8</s:v>
      </s:c>
      <s:c r="E714">
        <s:f>D714*3.5*70/200</s:f>
        <s:v>9.8000000000000007</s:v>
      </s:c>
    </s:row>
    <s:row r="715">
      <s:c r="A715" t="s">
        <s:v>1348</s:v>
      </s:c>
      <s:c r="B715" t="s">
        <s:v>1455</s:v>
      </s:c>
      <s:c r="C715" t="s">
        <s:v>1456</s:v>
      </s:c>
      <s:c r="D715">
        <s:v>4</s:v>
      </s:c>
      <s:c r="E715">
        <s:f>D715*3.5*70/200</s:f>
        <s:v>4.9000000000000004</s:v>
      </s:c>
    </s:row>
    <s:row r="716">
      <s:c r="A716" t="s">
        <s:v>1348</s:v>
      </s:c>
      <s:c r="B716" t="s">
        <s:v>1457</s:v>
      </s:c>
      <s:c r="C716" t="s">
        <s:v>1458</s:v>
      </s:c>
      <s:c r="D716">
        <s:v>3.5</s:v>
      </s:c>
      <s:c r="E716">
        <s:f>D716*3.5*70/200</s:f>
        <s:v>4.2874999999999996</s:v>
      </s:c>
    </s:row>
    <s:row r="717">
      <s:c r="A717" t="s">
        <s:v>1348</s:v>
      </s:c>
      <s:c r="B717" t="s">
        <s:v>1459</s:v>
      </s:c>
      <s:c r="C717" t="s">
        <s:v>1460</s:v>
      </s:c>
      <s:c r="D717">
        <s:v>7.8</s:v>
      </s:c>
      <s:c r="E717">
        <s:f>D717*3.5*70/200</s:f>
        <s:v>9.5549999999999997</s:v>
      </s:c>
    </s:row>
    <s:row r="718">
      <s:c r="A718" t="s">
        <s:v>1348</s:v>
      </s:c>
      <s:c r="B718" t="s">
        <s:v>1461</s:v>
      </s:c>
      <s:c r="C718" t="s">
        <s:v>1462</s:v>
      </s:c>
      <s:c r="D718">
        <s:v>8</s:v>
      </s:c>
      <s:c r="E718">
        <s:f>D718*3.5*70/200</s:f>
        <s:v>9.8000000000000007</s:v>
      </s:c>
    </s:row>
    <s:row r="719">
      <s:c r="A719" t="s">
        <s:v>1348</s:v>
      </s:c>
      <s:c r="B719" t="s">
        <s:v>1463</s:v>
      </s:c>
      <s:c r="C719" t="s">
        <s:v>1464</s:v>
      </s:c>
      <s:c r="D719">
        <s:v>10</s:v>
      </s:c>
      <s:c r="E719">
        <s:f>D719*3.5*70/200</s:f>
        <s:v>12.25</s:v>
      </s:c>
    </s:row>
    <s:row r="720">
      <s:c r="A720" t="s">
        <s:v>1348</s:v>
      </s:c>
      <s:c r="B720" t="s">
        <s:v>1465</s:v>
      </s:c>
      <s:c r="C720" t="s">
        <s:v>1466</s:v>
      </s:c>
      <s:c r="D720">
        <s:v>5.5</s:v>
      </s:c>
      <s:c r="E720">
        <s:f>D720*3.5*70/200</s:f>
        <s:v>6.7374999999999998</s:v>
      </s:c>
    </s:row>
    <s:row r="721">
      <s:c r="A721" t="s">
        <s:v>1348</s:v>
      </s:c>
      <s:c r="B721" t="s">
        <s:v>1467</s:v>
      </s:c>
      <s:c r="C721" t="s">
        <s:v>1468</s:v>
      </s:c>
      <s:c r="D721">
        <s:v>4.5</s:v>
      </s:c>
      <s:c r="E721">
        <s:f>D721*3.5*70/200</s:f>
        <s:v>5.5125000000000002</s:v>
      </s:c>
    </s:row>
    <s:row r="722">
      <s:c r="A722" t="s">
        <s:v>1348</s:v>
      </s:c>
      <s:c r="B722" t="s">
        <s:v>1469</s:v>
      </s:c>
      <s:c r="C722" t="s">
        <s:v>1470</s:v>
      </s:c>
      <s:c r="D722">
        <s:v>5.8</s:v>
      </s:c>
      <s:c r="E722">
        <s:f>D722*3.5*70/200</s:f>
        <s:v>7.1050000000000004</s:v>
      </s:c>
    </s:row>
    <s:row r="723">
      <s:c r="A723" t="s">
        <s:v>1348</s:v>
      </s:c>
      <s:c r="B723" t="s">
        <s:v>1471</s:v>
      </s:c>
      <s:c r="C723" t="s">
        <s:v>1472</s:v>
      </s:c>
      <s:c r="D723">
        <s:v>7.3</s:v>
      </s:c>
      <s:c r="E723">
        <s:f>D723*3.5*70/200</s:f>
        <s:v>8.9425000000000008</s:v>
      </s:c>
    </s:row>
    <s:row r="724">
      <s:c r="A724" t="s">
        <s:v>1348</s:v>
      </s:c>
      <s:c r="B724" t="s">
        <s:v>1473</s:v>
      </s:c>
      <s:c r="C724" t="s">
        <s:v>1474</s:v>
      </s:c>
      <s:c r="D724">
        <s:v>3.8</s:v>
      </s:c>
      <s:c r="E724">
        <s:f>D724*3.5*70/200</s:f>
        <s:v>4.6549999999999994</s:v>
      </s:c>
    </s:row>
    <s:row r="725">
      <s:c r="A725" t="s">
        <s:v>1348</s:v>
      </s:c>
      <s:c r="B725" t="s">
        <s:v>1475</s:v>
      </s:c>
      <s:c r="C725" t="s">
        <s:v>1476</s:v>
      </s:c>
      <s:c r="D725">
        <s:v>9</s:v>
      </s:c>
      <s:c r="E725">
        <s:f>D725*3.5*70/200</s:f>
        <s:v>11.025</s:v>
      </s:c>
    </s:row>
    <s:row r="726">
      <s:c r="A726" t="s">
        <s:v>1348</s:v>
      </s:c>
      <s:c r="B726" t="s">
        <s:v>1477</s:v>
      </s:c>
      <s:c r="C726" t="s">
        <s:v>1478</s:v>
      </s:c>
      <s:c r="D726">
        <s:v>6</s:v>
      </s:c>
      <s:c r="E726">
        <s:f>D726*3.5*70/200</s:f>
        <s:v>7.35</s:v>
      </s:c>
    </s:row>
    <s:row r="727">
      <s:c r="A727" t="s">
        <s:v>1348</s:v>
      </s:c>
      <s:c r="B727" t="s">
        <s:v>1479</s:v>
      </s:c>
      <s:c r="C727" t="s">
        <s:v>1480</s:v>
      </s:c>
      <s:c r="D727">
        <s:v>2.1</s:v>
      </s:c>
      <s:c r="E727">
        <s:f>D727*3.5*70/200</s:f>
        <s:v>2.5724999999999998</s:v>
      </s:c>
    </s:row>
    <s:row r="728">
      <s:c r="A728" t="s">
        <s:v>1348</s:v>
      </s:c>
      <s:c r="B728" t="s">
        <s:v>1481</s:v>
      </s:c>
      <s:c r="C728" t="s">
        <s:v>1482</s:v>
      </s:c>
      <s:c r="D728">
        <s:v>1.8</s:v>
      </s:c>
      <s:c r="E728">
        <s:f>D728*3.5*70/200</s:f>
        <s:v>2.2050000000000001</s:v>
      </s:c>
    </s:row>
    <s:row r="729">
      <s:c r="A729" t="s">
        <s:v>1348</s:v>
      </s:c>
      <s:c r="B729" t="s">
        <s:v>1483</s:v>
      </s:c>
      <s:c r="C729" t="s">
        <s:v>1484</s:v>
      </s:c>
      <s:c r="D729">
        <s:v>3</s:v>
      </s:c>
      <s:c r="E729">
        <s:f>D729*3.5*70/200</s:f>
        <s:v>3.6749999999999998</s:v>
      </s:c>
    </s:row>
    <s:row r="730">
      <s:c r="A730" t="s">
        <s:v>1348</s:v>
      </s:c>
      <s:c r="B730" t="s">
        <s:v>1485</s:v>
      </s:c>
      <s:c r="C730" t="s">
        <s:v>1486</s:v>
      </s:c>
      <s:c r="D730">
        <s:v>12</s:v>
      </s:c>
      <s:c r="E730">
        <s:f>D730*3.5*70/200</s:f>
        <s:v>14.7</s:v>
      </s:c>
    </s:row>
    <s:row r="731">
      <s:c r="A731" t="s">
        <s:v>1348</s:v>
      </s:c>
      <s:c r="B731" t="s">
        <s:v>1487</s:v>
      </s:c>
      <s:c r="C731" t="s">
        <s:v>1488</s:v>
      </s:c>
      <s:c r="D731">
        <s:v>5.3</s:v>
      </s:c>
      <s:c r="E731">
        <s:f>D731*3.5*70/200</s:f>
        <s:v>6.4924999999999997</s:v>
      </s:c>
    </s:row>
    <s:row r="732">
      <s:c r="A732" t="s">
        <s:v>1348</s:v>
      </s:c>
      <s:c r="B732" t="s">
        <s:v>1489</s:v>
      </s:c>
      <s:c r="C732" t="s">
        <s:v>1490</s:v>
      </s:c>
      <s:c r="D732">
        <s:v>10.3</s:v>
      </s:c>
      <s:c r="E732">
        <s:f>D732*3.5*70/200</s:f>
        <s:v>12.617500000000001</s:v>
      </s:c>
    </s:row>
    <s:row r="733">
      <s:c r="A733" t="s">
        <s:v>1348</s:v>
      </s:c>
      <s:c r="B733" t="s">
        <s:v>1491</s:v>
      </s:c>
      <s:c r="C733" t="s">
        <s:v>1492</s:v>
      </s:c>
      <s:c r="D733">
        <s:v>14.3</s:v>
      </s:c>
      <s:c r="E733">
        <s:f>D733*3.5*70/200</s:f>
        <s:v>17.517500000000002</s:v>
      </s:c>
    </s:row>
    <s:row r="734">
      <s:c r="A734" t="s">
        <s:v>1348</s:v>
      </s:c>
      <s:c r="B734" t="s">
        <s:v>1493</s:v>
      </s:c>
      <s:c r="C734" t="s">
        <s:v>1494</s:v>
      </s:c>
      <s:c r="D734">
        <s:v>11.3</s:v>
      </s:c>
      <s:c r="E734">
        <s:f>D734*3.5*70/200</s:f>
        <s:v>13.842500000000003</s:v>
      </s:c>
    </s:row>
    <s:row r="735">
      <s:c r="A735" t="s">
        <s:v>1348</s:v>
      </s:c>
      <s:c r="B735" t="s">
        <s:v>1495</s:v>
      </s:c>
      <s:c r="C735" t="s">
        <s:v>1496</s:v>
      </s:c>
      <s:c r="D735">
        <s:v>4</s:v>
      </s:c>
      <s:c r="E735">
        <s:f>D735*3.5*70/200</s:f>
        <s:v>4.9000000000000004</s:v>
      </s:c>
    </s:row>
    <s:row r="736">
      <s:c r="A736" t="s">
        <s:v>1348</s:v>
      </s:c>
      <s:c r="B736" t="s">
        <s:v>1497</s:v>
      </s:c>
      <s:c r="C736" t="s">
        <s:v>1498</s:v>
      </s:c>
      <s:c r="D736">
        <s:v>6.5</s:v>
      </s:c>
      <s:c r="E736">
        <s:f>D736*3.5*70/200</s:f>
        <s:v>7.9625000000000004</s:v>
      </s:c>
    </s:row>
    <s:row r="737">
      <s:c r="A737" t="s">
        <s:v>1348</s:v>
      </s:c>
      <s:c r="B737" t="s">
        <s:v>1499</s:v>
      </s:c>
      <s:c r="C737" t="s">
        <s:v>1500</s:v>
      </s:c>
      <s:c r="D737">
        <s:v>9.6</s:v>
      </s:c>
      <s:c r="E737">
        <s:f>D737*3.5*70/200</s:f>
        <s:v>11.76</s:v>
      </s:c>
    </s:row>
    <s:row r="738">
      <s:c r="A738" t="s">
        <s:v>1348</s:v>
      </s:c>
      <s:c r="B738" t="s">
        <s:v>1501</s:v>
      </s:c>
      <s:c r="C738" t="s">
        <s:v>1502</s:v>
      </s:c>
      <s:c r="D738">
        <s:v>11.3</s:v>
      </s:c>
      <s:c r="E738">
        <s:f>D738*3.5*70/200</s:f>
        <s:v>13.842500000000003</s:v>
      </s:c>
    </s:row>
    <s:row r="739">
      <s:c r="A739" t="s">
        <s:v>1348</s:v>
      </s:c>
      <s:c r="B739" t="s">
        <s:v>1503</s:v>
      </s:c>
      <s:c r="C739" t="s">
        <s:v>1504</s:v>
      </s:c>
      <s:c r="D739">
        <s:v>7</s:v>
      </s:c>
      <s:c r="E739">
        <s:f>D739*3.5*70/200</s:f>
        <s:v>8.5749999999999993</s:v>
      </s:c>
    </s:row>
    <s:row r="740">
      <s:c r="A740" t="s">
        <s:v>1348</s:v>
      </s:c>
      <s:c r="B740" t="s">
        <s:v>1505</s:v>
      </s:c>
      <s:c r="C740" t="s">
        <s:v>1506</s:v>
      </s:c>
      <s:c r="D740">
        <s:v>5.5</s:v>
      </s:c>
      <s:c r="E740">
        <s:f>D740*3.5*70/200</s:f>
        <s:v>6.7374999999999998</s:v>
      </s:c>
    </s:row>
    <s:row r="741">
      <s:c r="A741" t="s">
        <s:v>1348</s:v>
      </s:c>
      <s:c r="B741" t="s">
        <s:v>1507</s:v>
      </s:c>
      <s:c r="C741" t="s">
        <s:v>1508</s:v>
      </s:c>
      <s:c r="D741">
        <s:v>7.3</s:v>
      </s:c>
      <s:c r="E741">
        <s:f>D741*3.5*70/200</s:f>
        <s:v>8.9425000000000008</s:v>
      </s:c>
    </s:row>
    <s:row r="742">
      <s:c r="A742" t="s">
        <s:v>1348</s:v>
      </s:c>
      <s:c r="B742" t="s">
        <s:v>1509</s:v>
      </s:c>
      <s:c r="C742" t="s">
        <s:v>1510</s:v>
      </s:c>
      <s:c r="D742">
        <s:v>8</s:v>
      </s:c>
      <s:c r="E742">
        <s:f>D742*3.5*70/200</s:f>
        <s:v>9.8000000000000007</s:v>
      </s:c>
    </s:row>
    <s:row r="743">
      <s:c r="A743" t="s">
        <s:v>1348</s:v>
      </s:c>
      <s:c r="B743" t="s">
        <s:v>1511</s:v>
      </s:c>
      <s:c r="C743" t="s">
        <s:v>1512</s:v>
      </s:c>
      <s:c r="D743">
        <s:v>3.3</s:v>
      </s:c>
      <s:c r="E743">
        <s:f>D743*3.5*70/200</s:f>
        <s:v>4.0424999999999995</s:v>
      </s:c>
    </s:row>
    <s:row r="744">
      <s:c r="A744" t="s">
        <s:v>1348</s:v>
      </s:c>
      <s:c r="B744" t="s">
        <s:v>1513</s:v>
      </s:c>
      <s:c r="C744" t="s">
        <s:v>1514</s:v>
      </s:c>
      <s:c r="D744">
        <s:v>4</s:v>
      </s:c>
      <s:c r="E744">
        <s:f>D744*3.5*70/200</s:f>
        <s:v>4.9000000000000004</s:v>
      </s:c>
    </s:row>
    <s:row r="745">
      <s:c r="A745" t="s">
        <s:v>1348</s:v>
      </s:c>
      <s:c r="B745" t="s">
        <s:v>1515</s:v>
      </s:c>
      <s:c r="C745" t="s">
        <s:v>1516</s:v>
      </s:c>
      <s:c r="D745">
        <s:v>5.3</s:v>
      </s:c>
      <s:c r="E745">
        <s:f>D745*3.5*70/200</s:f>
        <s:v>6.4924999999999997</s:v>
      </s:c>
    </s:row>
    <s:row r="746">
      <s:c r="A746" t="s">
        <s:v>1348</s:v>
      </s:c>
      <s:c r="B746" t="s">
        <s:v>1517</s:v>
      </s:c>
      <s:c r="C746" t="s">
        <s:v>1518</s:v>
      </s:c>
      <s:c r="D746">
        <s:v>7</s:v>
      </s:c>
      <s:c r="E746">
        <s:f>D746*3.5*70/200</s:f>
        <s:v>8.5749999999999993</s:v>
      </s:c>
    </s:row>
    <s:row r="747">
      <s:c r="A747" t="s">
        <s:v>1348</s:v>
      </s:c>
      <s:c r="B747" t="s">
        <s:v>1519</s:v>
      </s:c>
      <s:c r="C747" t="s">
        <s:v>1520</s:v>
      </s:c>
      <s:c r="D747">
        <s:v>9</s:v>
      </s:c>
      <s:c r="E747">
        <s:f>D747*3.5*70/200</s:f>
        <s:v>11.025</s:v>
      </s:c>
    </s:row>
    <s:row r="748">
      <s:c r="A748" t="s">
        <s:v>1348</s:v>
      </s:c>
      <s:c r="B748" t="s">
        <s:v>1521</s:v>
      </s:c>
      <s:c r="C748" t="s">
        <s:v>1522</s:v>
      </s:c>
      <s:c r="D748">
        <s:v>10</s:v>
      </s:c>
      <s:c r="E748">
        <s:f>D748*3.5*70/200</s:f>
        <s:v>12.25</s:v>
      </s:c>
    </s:row>
    <s:row r="749">
      <s:c r="A749" t="s">
        <s:v>1348</s:v>
      </s:c>
      <s:c r="B749" t="s">
        <s:v>1523</s:v>
      </s:c>
      <s:c r="C749" t="s">
        <s:v>1524</s:v>
      </s:c>
      <s:c r="D749">
        <s:v>6</s:v>
      </s:c>
      <s:c r="E749">
        <s:f>D749*3.5*70/200</s:f>
        <s:v>7.35</s:v>
      </s:c>
    </s:row>
    <s:row r="750">
      <s:c r="A750" t="s">
        <s:v>1348</s:v>
      </s:c>
      <s:c r="B750" t="s">
        <s:v>1525</s:v>
      </s:c>
      <s:c r="C750" t="s">
        <s:v>1526</s:v>
      </s:c>
      <s:c r="D750">
        <s:v>1.8</s:v>
      </s:c>
      <s:c r="E750">
        <s:f>D750*3.5*70/200</s:f>
        <s:v>2.2050000000000001</s:v>
      </s:c>
    </s:row>
    <s:row r="751">
      <s:c r="A751" t="s">
        <s:v>1348</s:v>
      </s:c>
      <s:c r="B751" t="s">
        <s:v>1527</s:v>
      </s:c>
      <s:c r="C751" t="s">
        <s:v>1528</s:v>
      </s:c>
      <s:c r="D751">
        <s:v>6.5</s:v>
      </s:c>
      <s:c r="E751">
        <s:f>D751*3.5*70/200</s:f>
        <s:v>7.9625000000000004</s:v>
      </s:c>
    </s:row>
    <s:row r="752">
      <s:c r="A752" t="s">
        <s:v>1348</s:v>
      </s:c>
      <s:c r="B752" t="s">
        <s:v>1529</s:v>
      </s:c>
      <s:c r="C752" t="s">
        <s:v>1530</s:v>
      </s:c>
      <s:c r="D752">
        <s:v>8</s:v>
      </s:c>
      <s:c r="E752">
        <s:f>D752*3.5*70/200</s:f>
        <s:v>9.8000000000000007</s:v>
      </s:c>
    </s:row>
    <s:row r="753">
      <s:c r="A753" t="s">
        <s:v>1348</s:v>
      </s:c>
      <s:c r="B753" t="s">
        <s:v>1531</s:v>
      </s:c>
      <s:c r="C753" t="s">
        <s:v>1532</s:v>
      </s:c>
      <s:c r="D753">
        <s:v>10</s:v>
      </s:c>
      <s:c r="E753">
        <s:f>D753*3.5*70/200</s:f>
        <s:v>12.25</s:v>
      </s:c>
    </s:row>
    <s:row r="754">
      <s:c r="A754" t="s">
        <s:v>1348</s:v>
      </s:c>
      <s:c r="B754" t="s">
        <s:v>1533</s:v>
      </s:c>
      <s:c r="C754" t="s">
        <s:v>1534</s:v>
      </s:c>
      <s:c r="D754">
        <s:v>10.3</s:v>
      </s:c>
      <s:c r="E754">
        <s:f>D754*3.5*70/200</s:f>
        <s:v>12.617500000000001</s:v>
      </s:c>
    </s:row>
    <s:row r="755">
      <s:c r="A755" t="s">
        <s:v>1348</s:v>
      </s:c>
      <s:c r="B755" t="s">
        <s:v>1535</s:v>
      </s:c>
      <s:c r="C755" t="s">
        <s:v>1536</s:v>
      </s:c>
      <s:c r="D755">
        <s:v>13.8</s:v>
      </s:c>
      <s:c r="E755">
        <s:f>D755*3.5*70/200</s:f>
        <s:v>16.905000000000001</s:v>
      </s:c>
    </s:row>
    <s:row r="756">
      <s:c r="A756" t="s">
        <s:v>1348</s:v>
      </s:c>
      <s:c r="B756" t="s">
        <s:v>1537</s:v>
      </s:c>
      <s:c r="C756" t="s">
        <s:v>1538</s:v>
      </s:c>
      <s:c r="D756">
        <s:v>15.5</s:v>
      </s:c>
      <s:c r="E756">
        <s:f>D756*3.5*70/200</s:f>
        <s:v>18.987500000000001</s:v>
      </s:c>
    </s:row>
    <s:row r="757">
      <s:c r="A757" t="s">
        <s:v>1348</s:v>
      </s:c>
      <s:c r="B757" t="s">
        <s:v>1539</s:v>
      </s:c>
      <s:c r="C757" t="s">
        <s:v>1540</s:v>
      </s:c>
      <s:c r="D757">
        <s:v>7</s:v>
      </s:c>
      <s:c r="E757">
        <s:f>D757*3.5*70/200</s:f>
        <s:v>8.5749999999999993</s:v>
      </s:c>
    </s:row>
    <s:row r="758">
      <s:c r="A758" t="s">
        <s:v>1348</s:v>
      </s:c>
      <s:c r="B758" t="s">
        <s:v>1541</s:v>
      </s:c>
      <s:c r="C758" t="s">
        <s:v>1542</s:v>
      </s:c>
      <s:c r="D758">
        <s:v>8</s:v>
      </s:c>
      <s:c r="E758">
        <s:f>D758*3.5*70/200</s:f>
        <s:v>9.8000000000000007</s:v>
      </s:c>
    </s:row>
    <s:row r="759">
      <s:c r="A759" t="s">
        <s:v>1348</s:v>
      </s:c>
      <s:c r="B759" t="s">
        <s:v>1543</s:v>
      </s:c>
      <s:c r="C759" t="s">
        <s:v>1544</s:v>
      </s:c>
      <s:c r="D759">
        <s:v>8.8000000000000007</s:v>
      </s:c>
      <s:c r="E759">
        <s:f>D759*3.5*70/200</s:f>
        <s:v>10.780000000000003</s:v>
      </s:c>
    </s:row>
    <s:row r="760">
      <s:c r="A760" t="s">
        <s:v>1348</s:v>
      </s:c>
      <s:c r="B760" t="s">
        <s:v>1545</s:v>
      </s:c>
      <s:c r="C760" t="s">
        <s:v>1546</s:v>
      </s:c>
      <s:c r="D760">
        <s:v>7.3</s:v>
      </s:c>
      <s:c r="E760">
        <s:f>D760*3.5*70/200</s:f>
        <s:v>8.9425000000000008</s:v>
      </s:c>
    </s:row>
    <s:row r="761">
      <s:c r="A761" t="s">
        <s:v>1348</s:v>
      </s:c>
      <s:c r="B761" t="s">
        <s:v>1547</s:v>
      </s:c>
      <s:c r="C761" t="s">
        <s:v>1548</s:v>
      </s:c>
      <s:c r="D761">
        <s:v>10.5</s:v>
      </s:c>
      <s:c r="E761">
        <s:f>D761*3.5*70/200</s:f>
        <s:v>12.862500000000001</s:v>
      </s:c>
    </s:row>
    <s:row r="762">
      <s:c r="A762" t="s">
        <s:v>1348</s:v>
      </s:c>
      <s:c r="B762" t="s">
        <s:v>1549</s:v>
      </s:c>
      <s:c r="C762" t="s">
        <s:v>1550</s:v>
      </s:c>
      <s:c r="D762">
        <s:v>5.8</s:v>
      </s:c>
      <s:c r="E762">
        <s:f>D762*3.5*70/200</s:f>
        <s:v>7.1050000000000004</s:v>
      </s:c>
    </s:row>
    <s:row r="763">
      <s:c r="A763" t="s">
        <s:v>1348</s:v>
      </s:c>
      <s:c r="B763" t="s">
        <s:v>1551</s:v>
      </s:c>
      <s:c r="C763" t="s">
        <s:v>1552</s:v>
      </s:c>
      <s:c r="D763">
        <s:v>10.5</s:v>
      </s:c>
      <s:c r="E763">
        <s:f>D763*3.5*70/200</s:f>
        <s:v>12.862500000000001</s:v>
      </s:c>
    </s:row>
    <s:row r="764">
      <s:c r="A764" t="s">
        <s:v>1348</s:v>
      </s:c>
      <s:c r="B764" t="s">
        <s:v>1553</s:v>
      </s:c>
      <s:c r="C764" t="s">
        <s:v>1554</s:v>
      </s:c>
      <s:c r="D764">
        <s:v>10.5</s:v>
      </s:c>
      <s:c r="E764">
        <s:f>D764*3.5*70/200</s:f>
        <s:v>12.862500000000001</s:v>
      </s:c>
    </s:row>
    <s:row r="765">
      <s:c r="A765" t="s">
        <s:v>1348</s:v>
      </s:c>
      <s:c r="B765" t="s">
        <s:v>1555</s:v>
      </s:c>
      <s:c r="C765" t="s">
        <s:v>1556</s:v>
      </s:c>
      <s:c r="D765">
        <s:v>5</s:v>
      </s:c>
      <s:c r="E765">
        <s:f>D765*3.5*70/200</s:f>
        <s:v>6.125</s:v>
      </s:c>
    </s:row>
    <s:row r="766">
      <s:c r="A766" t="s">
        <s:v>1348</s:v>
      </s:c>
      <s:c r="B766" t="s">
        <s:v>1557</s:v>
      </s:c>
      <s:c r="C766" t="s">
        <s:v>1558</s:v>
      </s:c>
      <s:c r="D766">
        <s:v>4</s:v>
      </s:c>
      <s:c r="E766">
        <s:f>D766*3.5*70/200</s:f>
        <s:v>4.9000000000000004</s:v>
      </s:c>
    </s:row>
    <s:row r="767">
      <s:c r="A767" t="s">
        <s:v>1348</s:v>
      </s:c>
      <s:c r="B767" t="s">
        <s:v>1559</s:v>
      </s:c>
      <s:c r="C767" t="s">
        <s:v>1560</s:v>
      </s:c>
      <s:c r="D767">
        <s:v>5.5</s:v>
      </s:c>
      <s:c r="E767">
        <s:f>D767*3.5*70/200</s:f>
        <s:v>6.7374999999999998</s:v>
      </s:c>
    </s:row>
    <s:row r="768">
      <s:c r="A768" t="s">
        <s:v>1348</s:v>
      </s:c>
      <s:c r="B768" t="s">
        <s:v>1561</s:v>
      </s:c>
      <s:c r="C768" t="s">
        <s:v>1562</s:v>
      </s:c>
      <s:c r="D768">
        <s:v>7</s:v>
      </s:c>
      <s:c r="E768">
        <s:f>D768*3.5*70/200</s:f>
        <s:v>8.5749999999999993</s:v>
      </s:c>
    </s:row>
    <s:row r="769">
      <s:c r="A769" t="s">
        <s:v>1348</s:v>
      </s:c>
      <s:c r="B769" t="s">
        <s:v>1563</s:v>
      </s:c>
      <s:c r="C769" t="s">
        <s:v>1564</s:v>
      </s:c>
      <s:c r="D769">
        <s:v>12.3</s:v>
      </s:c>
      <s:c r="E769">
        <s:f>D769*3.5*70/200</s:f>
        <s:v>15.067500000000003</s:v>
      </s:c>
    </s:row>
    <s:row r="770">
      <s:c r="A770" t="s">
        <s:v>1348</s:v>
      </s:c>
      <s:c r="B770" t="s">
        <s:v>1565</s:v>
      </s:c>
      <s:c r="C770" t="s">
        <s:v>1566</s:v>
      </s:c>
      <s:c r="D770">
        <s:v>11.8</s:v>
      </s:c>
      <s:c r="E770">
        <s:f>D770*3.5*70/200</s:f>
        <s:v>14.455000000000002</s:v>
      </s:c>
    </s:row>
    <s:row r="771">
      <s:c r="A771" t="s">
        <s:v>1348</s:v>
      </s:c>
      <s:c r="B771" t="s">
        <s:v>1567</s:v>
      </s:c>
      <s:c r="C771" t="s">
        <s:v>1568</s:v>
      </s:c>
      <s:c r="D771">
        <s:v>8.3000000000000007</s:v>
      </s:c>
      <s:c r="E771">
        <s:f>D771*3.5*70/200</s:f>
        <s:v>10.1675</s:v>
      </s:c>
    </s:row>
    <s:row r="772">
      <s:c r="A772" t="s">
        <s:v>1348</s:v>
      </s:c>
      <s:c r="B772" t="s">
        <s:v>1569</s:v>
      </s:c>
      <s:c r="C772" t="s">
        <s:v>1570</s:v>
      </s:c>
      <s:c r="D772">
        <s:v>10</s:v>
      </s:c>
      <s:c r="E772">
        <s:f>D772*3.5*70/200</s:f>
        <s:v>12.25</s:v>
      </s:c>
    </s:row>
    <s:row r="773">
      <s:c r="A773" t="s">
        <s:v>1348</s:v>
      </s:c>
      <s:c r="B773" t="s">
        <s:v>1571</s:v>
      </s:c>
      <s:c r="C773" t="s">
        <s:v>1572</s:v>
      </s:c>
      <s:c r="D773">
        <s:v>8.3000000000000007</s:v>
      </s:c>
      <s:c r="E773">
        <s:f>D773*3.5*70/200</s:f>
        <s:v>10.1675</s:v>
      </s:c>
    </s:row>
    <s:row r="774">
      <s:c r="A774" t="s">
        <s:v>1348</s:v>
      </s:c>
      <s:c r="B774" t="s">
        <s:v>1573</s:v>
      </s:c>
      <s:c r="C774" t="s">
        <s:v>1574</s:v>
      </s:c>
      <s:c r="D774">
        <s:v>6.3</s:v>
      </s:c>
      <s:c r="E774">
        <s:f>D774*3.5*70/200</s:f>
        <s:v>7.7175000000000002</s:v>
      </s:c>
    </s:row>
    <s:row r="775">
      <s:c r="A775" t="s">
        <s:v>1348</s:v>
      </s:c>
      <s:c r="B775" t="s">
        <s:v>1575</s:v>
      </s:c>
      <s:c r="C775" t="s">
        <s:v>1576</s:v>
      </s:c>
      <s:c r="D775">
        <s:v>3</s:v>
      </s:c>
      <s:c r="E775">
        <s:f>D775*3.5*70/200</s:f>
        <s:v>3.6749999999999998</s:v>
      </s:c>
    </s:row>
    <s:row r="776">
      <s:c r="A776" t="s">
        <s:v>1348</s:v>
      </s:c>
      <s:c r="B776" t="s">
        <s:v>1577</s:v>
      </s:c>
      <s:c r="C776" t="s">
        <s:v>1578</s:v>
      </s:c>
      <s:c r="D776">
        <s:v>5</s:v>
      </s:c>
      <s:c r="E776">
        <s:f>D776*3.5*70/200</s:f>
        <s:v>6.125</s:v>
      </s:c>
    </s:row>
    <s:row r="777">
      <s:c r="A777" t="s">
        <s:v>1348</s:v>
      </s:c>
      <s:c r="B777" t="s">
        <s:v>1579</s:v>
      </s:c>
      <s:c r="C777" t="s">
        <s:v>1580</s:v>
      </s:c>
      <s:c r="D777">
        <s:v>6</s:v>
      </s:c>
      <s:c r="E777">
        <s:f>D777*3.5*70/200</s:f>
        <s:v>7.35</s:v>
      </s:c>
    </s:row>
    <s:row r="778">
      <s:c r="A778" t="s">
        <s:v>1348</s:v>
      </s:c>
      <s:c r="B778" t="s">
        <s:v>1581</s:v>
      </s:c>
      <s:c r="C778" t="s">
        <s:v>1582</s:v>
      </s:c>
      <s:c r="D778">
        <s:v>7</s:v>
      </s:c>
      <s:c r="E778">
        <s:f>D778*3.5*70/200</s:f>
        <s:v>8.5749999999999993</s:v>
      </s:c>
    </s:row>
    <s:row r="779">
      <s:c r="A779" t="s">
        <s:v>1348</s:v>
      </s:c>
      <s:c r="B779" t="s">
        <s:v>1583</s:v>
      </s:c>
      <s:c r="C779" t="s">
        <s:v>1584</s:v>
      </s:c>
      <s:c r="D779">
        <s:v>7.5</s:v>
      </s:c>
      <s:c r="E779">
        <s:f>D779*3.5*70/200</s:f>
        <s:v>9.1875</s:v>
      </s:c>
    </s:row>
    <s:row r="780">
      <s:c r="A780" t="s">
        <s:v>1348</s:v>
      </s:c>
      <s:c r="B780" t="s">
        <s:v>1585</s:v>
      </s:c>
      <s:c r="C780" t="s">
        <s:v>1586</s:v>
      </s:c>
      <s:c r="D780">
        <s:v>9.8000000000000007</s:v>
      </s:c>
      <s:c r="E780">
        <s:f>D780*3.5*70/200</s:f>
        <s:v>12.005000000000003</s:v>
      </s:c>
    </s:row>
    <s:row r="781">
      <s:c r="A781" t="s">
        <s:v>1348</s:v>
      </s:c>
      <s:c r="B781" t="s">
        <s:v>1587</s:v>
      </s:c>
      <s:c r="C781" t="s">
        <s:v>1588</s:v>
      </s:c>
      <s:c r="D781">
        <s:v>12.3</s:v>
      </s:c>
      <s:c r="E781">
        <s:f>D781*3.5*70/200</s:f>
        <s:v>15.067500000000003</s:v>
      </s:c>
    </s:row>
    <s:row r="782">
      <s:c r="A782" t="s">
        <s:v>1348</s:v>
      </s:c>
      <s:c r="B782" t="s">
        <s:v>1589</s:v>
      </s:c>
      <s:c r="C782" t="s">
        <s:v>1590</s:v>
      </s:c>
      <s:c r="D782">
        <s:v>15.5</s:v>
      </s:c>
      <s:c r="E782">
        <s:f>D782*3.5*70/200</s:f>
        <s:v>18.987500000000001</s:v>
      </s:c>
    </s:row>
    <s:row r="783">
      <s:c r="A783" t="s">
        <s:v>1348</s:v>
      </s:c>
      <s:c r="B783" t="s">
        <s:v>1591</s:v>
      </s:c>
      <s:c r="C783" t="s">
        <s:v>1592</s:v>
      </s:c>
      <s:c r="D783">
        <s:v>6.8</s:v>
      </s:c>
      <s:c r="E783">
        <s:f>D783*3.5*70/200</s:f>
        <s:v>8.33</s:v>
      </s:c>
    </s:row>
    <s:row r="784">
      <s:c r="A784" t="s">
        <s:v>1348</s:v>
      </s:c>
      <s:c r="B784" t="s">
        <s:v>1593</s:v>
      </s:c>
      <s:c r="C784" t="s">
        <s:v>1594</s:v>
      </s:c>
      <s:c r="D784">
        <s:v>8.3000000000000007</s:v>
      </s:c>
      <s:c r="E784">
        <s:f>D784*3.5*70/200</s:f>
        <s:v>10.1675</s:v>
      </s:c>
    </s:row>
    <s:row r="785">
      <s:c r="A785" t="s">
        <s:v>1348</s:v>
      </s:c>
      <s:c r="B785" t="s">
        <s:v>1595</s:v>
      </s:c>
      <s:c r="C785" t="s">
        <s:v>1596</s:v>
      </s:c>
      <s:c r="D785">
        <s:v>10.5</s:v>
      </s:c>
      <s:c r="E785">
        <s:f>D785*3.5*70/200</s:f>
        <s:v>12.862500000000001</s:v>
      </s:c>
    </s:row>
    <s:row r="786">
      <s:c r="A786" t="s">
        <s:v>1348</s:v>
      </s:c>
      <s:c r="B786" t="s">
        <s:v>1597</s:v>
      </s:c>
      <s:c r="C786" t="s">
        <s:v>1598</s:v>
      </s:c>
      <s:c r="D786">
        <s:v>3.5</s:v>
      </s:c>
      <s:c r="E786">
        <s:f>D786*3.5*70/200</s:f>
        <s:v>4.2874999999999996</s:v>
      </s:c>
    </s:row>
    <s:row r="787">
      <s:c r="A787" t="s">
        <s:v>1348</s:v>
      </s:c>
      <s:c r="B787" t="s">
        <s:v>1599</s:v>
      </s:c>
      <s:c r="C787" t="s">
        <s:v>1600</s:v>
      </s:c>
      <s:c r="D787">
        <s:v>9.5</s:v>
      </s:c>
      <s:c r="E787">
        <s:f>D787*3.5*70/200</s:f>
        <s:v>11.637499999999999</s:v>
      </s:c>
    </s:row>
    <s:row r="788">
      <s:c r="A788" t="s">
        <s:v>1348</s:v>
      </s:c>
      <s:c r="B788" t="s">
        <s:v>1601</s:v>
      </s:c>
      <s:c r="C788" t="s">
        <s:v>1602</s:v>
      </s:c>
      <s:c r="D788">
        <s:v>7</s:v>
      </s:c>
      <s:c r="E788">
        <s:f>D788*3.5*70/200</s:f>
        <s:v>8.5749999999999993</s:v>
      </s:c>
    </s:row>
    <s:row r="789">
      <s:c r="A789" t="s">
        <s:v>1348</s:v>
      </s:c>
      <s:c r="B789" t="s">
        <s:v>1603</s:v>
      </s:c>
      <s:c r="C789" t="s">
        <s:v>1604</s:v>
      </s:c>
      <s:c r="D789">
        <s:v>3.5</s:v>
      </s:c>
      <s:c r="E789">
        <s:f>D789*3.5*70/200</s:f>
        <s:v>4.2874999999999996</s:v>
      </s:c>
    </s:row>
    <s:row r="790">
      <s:c r="A790" t="s">
        <s:v>1348</s:v>
      </s:c>
      <s:c r="B790" t="s">
        <s:v>1605</s:v>
      </s:c>
      <s:c r="C790" t="s">
        <s:v>1606</s:v>
      </s:c>
      <s:c r="D790">
        <s:v>5</s:v>
      </s:c>
      <s:c r="E790">
        <s:f>D790*3.5*70/200</s:f>
        <s:v>6.125</s:v>
      </s:c>
    </s:row>
    <s:row r="791">
      <s:c r="A791" t="s">
        <s:v>1348</s:v>
      </s:c>
      <s:c r="B791" t="s">
        <s:v>1607</s:v>
      </s:c>
      <s:c r="C791" t="s">
        <s:v>1608</s:v>
      </s:c>
      <s:c r="D791">
        <s:v>4</s:v>
      </s:c>
      <s:c r="E791">
        <s:f>D791*3.5*70/200</s:f>
        <s:v>4.9000000000000004</s:v>
      </s:c>
    </s:row>
    <s:row r="792">
      <s:c r="A792" t="s">
        <s:v>1348</s:v>
      </s:c>
      <s:c r="B792" t="s">
        <s:v>1609</s:v>
      </s:c>
      <s:c r="C792" t="s">
        <s:v>1610</s:v>
      </s:c>
      <s:c r="D792">
        <s:v>4</s:v>
      </s:c>
      <s:c r="E792">
        <s:f>D792*3.5*70/200</s:f>
        <s:v>4.9000000000000004</s:v>
      </s:c>
    </s:row>
    <s:row r="793">
      <s:c r="A793" t="s">
        <s:v>1348</s:v>
      </s:c>
      <s:c r="B793" t="s">
        <s:v>1611</s:v>
      </s:c>
      <s:c r="C793" t="s">
        <s:v>1612</s:v>
      </s:c>
      <s:c r="D793">
        <s:v>6</s:v>
      </s:c>
      <s:c r="E793">
        <s:f>D793*3.5*70/200</s:f>
        <s:v>7.35</s:v>
      </s:c>
    </s:row>
    <s:row r="794">
      <s:c r="A794" t="s">
        <s:v>1348</s:v>
      </s:c>
      <s:c r="B794" t="s">
        <s:v>1613</s:v>
      </s:c>
      <s:c r="C794" t="s">
        <s:v>1614</s:v>
      </s:c>
      <s:c r="D794">
        <s:v>3.3</s:v>
      </s:c>
      <s:c r="E794">
        <s:f>D794*3.5*70/200</s:f>
        <s:v>4.0424999999999995</s:v>
      </s:c>
    </s:row>
    <s:row r="795">
      <s:c r="A795" t="s">
        <s:v>1348</s:v>
      </s:c>
      <s:c r="B795" t="s">
        <s:v>1615</s:v>
      </s:c>
      <s:c r="C795" t="s">
        <s:v>1616</s:v>
      </s:c>
      <s:c r="D795">
        <s:v>12</s:v>
      </s:c>
      <s:c r="E795">
        <s:f>D795*3.5*70/200</s:f>
        <s:v>14.7</s:v>
      </s:c>
    </s:row>
    <s:row r="796">
      <s:c r="A796" t="s">
        <s:v>1348</s:v>
      </s:c>
      <s:c r="B796" t="s">
        <s:v>1617</s:v>
      </s:c>
      <s:c r="C796" t="s">
        <s:v>1618</s:v>
      </s:c>
      <s:c r="D796">
        <s:v>7.3</s:v>
      </s:c>
      <s:c r="E796">
        <s:f>D796*3.5*70/200</s:f>
        <s:v>8.9425000000000008</s:v>
      </s:c>
    </s:row>
    <s:row r="797">
      <s:c r="A797" t="s">
        <s:v>1348</s:v>
      </s:c>
      <s:c r="B797" t="s">
        <s:v>1619</s:v>
      </s:c>
      <s:c r="C797" t="s">
        <s:v>1620</s:v>
      </s:c>
      <s:c r="D797">
        <s:v>4</s:v>
      </s:c>
      <s:c r="E797">
        <s:f>D797*3.5*70/200</s:f>
        <s:v>4.9000000000000004</s:v>
      </s:c>
    </s:row>
    <s:row r="798">
      <s:c r="A798" t="s">
        <s:v>1348</s:v>
      </s:c>
      <s:c r="B798" t="s">
        <s:v>1621</s:v>
      </s:c>
      <s:c r="C798" t="s">
        <s:v>1622</s:v>
      </s:c>
      <s:c r="D798">
        <s:v>3.3</s:v>
      </s:c>
      <s:c r="E798">
        <s:f>D798*3.5*70/200</s:f>
        <s:v>4.0424999999999995</s:v>
      </s:c>
    </s:row>
    <s:row r="799">
      <s:c r="A799" t="s">
        <s:v>1348</s:v>
      </s:c>
      <s:c r="B799" t="s">
        <s:v>1623</s:v>
      </s:c>
      <s:c r="C799" t="s">
        <s:v>1624</s:v>
      </s:c>
      <s:c r="D799">
        <s:v>1.5</s:v>
      </s:c>
      <s:c r="E799">
        <s:f>D799*3.5*70/200</s:f>
        <s:v>1.8374999999999999</s:v>
      </s:c>
    </s:row>
    <s:row r="800">
      <s:c r="A800" t="s">
        <s:v>1348</s:v>
      </s:c>
      <s:c r="B800" t="s">
        <s:v>1625</s:v>
      </s:c>
      <s:c r="C800" t="s">
        <s:v>1626</s:v>
      </s:c>
      <s:c r="D800">
        <s:v>6</s:v>
      </s:c>
      <s:c r="E800">
        <s:f>D800*3.5*70/200</s:f>
        <s:v>7.35</s:v>
      </s:c>
    </s:row>
    <s:row r="801">
      <s:c r="A801" t="s">
        <s:v>1348</s:v>
      </s:c>
      <s:c r="B801" t="s">
        <s:v>1627</s:v>
      </s:c>
      <s:c r="C801" t="s">
        <s:v>1628</s:v>
      </s:c>
      <s:c r="D801">
        <s:v>6.8</s:v>
      </s:c>
      <s:c r="E801">
        <s:f>D801*3.5*70/200</s:f>
        <s:v>8.33</s:v>
      </s:c>
    </s:row>
    <s:row r="802">
      <s:c r="A802" t="s">
        <s:v>1348</s:v>
      </s:c>
      <s:c r="B802" t="s">
        <s:v>1629</s:v>
      </s:c>
      <s:c r="C802" t="s">
        <s:v>1630</s:v>
      </s:c>
      <s:c r="D802">
        <s:v>8</s:v>
      </s:c>
      <s:c r="E802">
        <s:f>D802*3.5*70/200</s:f>
        <s:v>9.8000000000000007</s:v>
      </s:c>
    </s:row>
    <s:row r="803">
      <s:c r="A803" t="s">
        <s:v>1348</s:v>
      </s:c>
      <s:c r="B803" t="s">
        <s:v>1631</s:v>
      </s:c>
      <s:c r="C803" t="s">
        <s:v>1632</s:v>
      </s:c>
      <s:c r="D803">
        <s:v>6</s:v>
      </s:c>
      <s:c r="E803">
        <s:f>D803*3.5*70/200</s:f>
        <s:v>7.35</s:v>
      </s:c>
    </s:row>
    <s:row r="804">
      <s:c r="A804" t="s">
        <s:v>1348</s:v>
      </s:c>
      <s:c r="B804" t="s">
        <s:v>1633</s:v>
      </s:c>
      <s:c r="C804" t="s">
        <s:v>1634</s:v>
      </s:c>
      <s:c r="D804">
        <s:v>4.5</s:v>
      </s:c>
      <s:c r="E804">
        <s:f>D804*3.5*70/200</s:f>
        <s:v>5.5125000000000002</s:v>
      </s:c>
    </s:row>
    <s:row r="805">
      <s:c r="A805" t="s">
        <s:v>1348</s:v>
      </s:c>
      <s:c r="B805" t="s">
        <s:v>1635</s:v>
      </s:c>
      <s:c r="C805" t="s">
        <s:v>1636</s:v>
      </s:c>
      <s:c r="D805">
        <s:v>8</s:v>
      </s:c>
      <s:c r="E805">
        <s:f>D805*3.5*70/200</s:f>
        <s:v>9.8000000000000007</s:v>
      </s:c>
    </s:row>
    <s:row r="806">
      <s:c r="A806" t="s">
        <s:v>1348</s:v>
      </s:c>
      <s:c r="B806" t="s">
        <s:v>1637</s:v>
      </s:c>
      <s:c r="C806" t="s">
        <s:v>1638</s:v>
      </s:c>
      <s:c r="D806">
        <s:v>5</s:v>
      </s:c>
      <s:c r="E806">
        <s:f>D806*3.5*70/200</s:f>
        <s:v>6.125</s:v>
      </s:c>
    </s:row>
    <s:row r="807">
      <s:c r="A807" t="s">
        <s:v>1348</s:v>
      </s:c>
      <s:c r="B807" t="s">
        <s:v>1639</s:v>
      </s:c>
      <s:c r="C807" t="s">
        <s:v>1640</s:v>
      </s:c>
      <s:c r="D807">
        <s:v>6.3</s:v>
      </s:c>
      <s:c r="E807">
        <s:f>D807*3.5*70/200</s:f>
        <s:v>7.7175000000000002</s:v>
      </s:c>
    </s:row>
    <s:row r="808">
      <s:c r="A808" t="s">
        <s:v>1348</s:v>
      </s:c>
      <s:c r="B808" t="s">
        <s:v>1641</s:v>
      </s:c>
      <s:c r="C808" t="s">
        <s:v>1642</s:v>
      </s:c>
      <s:c r="D808">
        <s:v>10.3</s:v>
      </s:c>
      <s:c r="E808">
        <s:f>D808*3.5*70/200</s:f>
        <s:v>12.617500000000001</s:v>
      </s:c>
    </s:row>
    <s:row r="809">
      <s:c r="A809" t="s">
        <s:v>1348</s:v>
      </s:c>
      <s:c r="B809" t="s">
        <s:v>1643</s:v>
      </s:c>
      <s:c r="C809" t="s">
        <s:v>1644</s:v>
      </s:c>
      <s:c r="D809">
        <s:v>4</s:v>
      </s:c>
      <s:c r="E809">
        <s:f>D809*3.5*70/200</s:f>
        <s:v>4.9000000000000004</s:v>
      </s:c>
    </s:row>
    <s:row r="810">
      <s:c r="A810" t="s">
        <s:v>1348</s:v>
      </s:c>
      <s:c r="B810" t="s">
        <s:v>1645</s:v>
      </s:c>
      <s:c r="C810" t="s">
        <s:v>1646</s:v>
      </s:c>
      <s:c r="D810">
        <s:v>6</s:v>
      </s:c>
      <s:c r="E810">
        <s:f>D810*3.5*70/200</s:f>
        <s:v>7.35</s:v>
      </s:c>
    </s:row>
    <s:row r="811">
      <s:c r="A811" t="s">
        <s:v>1348</s:v>
      </s:c>
      <s:c r="B811" t="s">
        <s:v>1647</s:v>
      </s:c>
      <s:c r="C811" t="s">
        <s:v>1648</s:v>
      </s:c>
      <s:c r="D811">
        <s:v>3</s:v>
      </s:c>
      <s:c r="E811">
        <s:f>D811*3.5*70/200</s:f>
        <s:v>3.6749999999999998</s:v>
      </s:c>
    </s:row>
    <s:row r="812">
      <s:c r="A812" t="s">
        <s:v>1348</s:v>
      </s:c>
      <s:c r="B812" t="s">
        <s:v>1649</s:v>
      </s:c>
      <s:c r="C812" t="s">
        <s:v>1650</s:v>
      </s:c>
      <s:c r="D812">
        <s:v>8</s:v>
      </s:c>
      <s:c r="E812">
        <s:f>D812*3.5*70/200</s:f>
        <s:v>9.8000000000000007</s:v>
      </s:c>
    </s:row>
    <s:row r="813">
      <s:c r="A813" t="s">
        <s:v>1348</s:v>
      </s:c>
      <s:c r="B813" t="s">
        <s:v>1651</s:v>
      </s:c>
      <s:c r="C813" t="s">
        <s:v>1652</s:v>
      </s:c>
      <s:c r="D813">
        <s:v>6</s:v>
      </s:c>
      <s:c r="E813">
        <s:f>D813*3.5*70/200</s:f>
        <s:v>7.35</s:v>
      </s:c>
    </s:row>
    <s:row r="814">
      <s:c r="A814" t="s">
        <s:v>1348</s:v>
      </s:c>
      <s:c r="B814" t="s">
        <s:v>1653</s:v>
      </s:c>
      <s:c r="C814" t="s">
        <s:v>1654</s:v>
      </s:c>
      <s:c r="D814">
        <s:v>7</s:v>
      </s:c>
      <s:c r="E814">
        <s:f>D814*3.5*70/200</s:f>
        <s:v>8.5749999999999993</s:v>
      </s:c>
    </s:row>
    <s:row r="815">
      <s:c r="A815" t="s">
        <s:v>1348</s:v>
      </s:c>
      <s:c r="B815" t="s">
        <s:v>1655</s:v>
      </s:c>
      <s:c r="C815" t="s">
        <s:v>1656</s:v>
      </s:c>
      <s:c r="D815">
        <s:v>4</s:v>
      </s:c>
      <s:c r="E815">
        <s:f>D815*3.5*70/200</s:f>
        <s:v>4.9000000000000004</s:v>
      </s:c>
    </s:row>
    <s:row r="816">
      <s:c r="A816" t="s">
        <s:v>1348</s:v>
      </s:c>
      <s:c r="B816" t="s">
        <s:v>1657</s:v>
      </s:c>
      <s:c r="C816" t="s">
        <s:v>1658</s:v>
      </s:c>
      <s:c r="D816">
        <s:v>6</s:v>
      </s:c>
      <s:c r="E816">
        <s:f>D816*3.5*70/200</s:f>
        <s:v>7.35</s:v>
      </s:c>
    </s:row>
    <s:row r="817">
      <s:c r="A817" t="s">
        <s:v>1348</s:v>
      </s:c>
      <s:c r="B817" t="s">
        <s:v>1659</s:v>
      </s:c>
      <s:c r="C817" t="s">
        <s:v>1660</s:v>
      </s:c>
      <s:c r="D817">
        <s:v>10</s:v>
      </s:c>
      <s:c r="E817">
        <s:f>D817*3.5*70/200</s:f>
        <s:v>12.25</s:v>
      </s:c>
    </s:row>
    <s:row r="818">
      <s:c r="A818" t="s">
        <s:v>1661</s:v>
      </s:c>
      <s:c r="B818" t="s">
        <s:v>1662</s:v>
      </s:c>
      <s:c r="C818" t="s">
        <s:v>1663</s:v>
      </s:c>
      <s:c r="D818">
        <s:v>6.8</s:v>
      </s:c>
      <s:c r="E818">
        <s:f>D818*3.5*70/200</s:f>
        <s:v>8.33</s:v>
      </s:c>
    </s:row>
    <s:row r="819">
      <s:c r="A819" t="s">
        <s:v>1661</s:v>
      </s:c>
      <s:c r="B819" t="s">
        <s:v>1664</s:v>
      </s:c>
      <s:c r="C819" t="s">
        <s:v>1665</s:v>
      </s:c>
      <s:c r="D819">
        <s:v>9.3000000000000007</s:v>
      </s:c>
      <s:c r="E819">
        <s:f>D819*3.5*70/200</s:f>
        <s:v>11.392500000000002</s:v>
      </s:c>
    </s:row>
    <s:row r="820">
      <s:c r="A820" t="s">
        <s:v>1661</s:v>
      </s:c>
      <s:c r="B820" t="s">
        <s:v>1666</s:v>
      </s:c>
      <s:c r="C820" t="s">
        <s:v>1667</s:v>
      </s:c>
      <s:c r="D820">
        <s:v>6.8</s:v>
      </s:c>
      <s:c r="E820">
        <s:f>D820*3.5*70/200</s:f>
        <s:v>8.33</s:v>
      </s:c>
    </s:row>
    <s:row r="821">
      <s:c r="A821" t="s">
        <s:v>1661</s:v>
      </s:c>
      <s:c r="B821" t="s">
        <s:v>1668</s:v>
      </s:c>
      <s:c r="C821" t="s">
        <s:v>1669</s:v>
      </s:c>
      <s:c r="D821">
        <s:v>2</s:v>
      </s:c>
      <s:c r="E821">
        <s:f>D821*3.5*70/200</s:f>
        <s:v>2.4500000000000002</s:v>
      </s:c>
    </s:row>
    <s:row r="822">
      <s:c r="A822" t="s">
        <s:v>1661</s:v>
      </s:c>
      <s:c r="B822" t="s">
        <s:v>1670</s:v>
      </s:c>
      <s:c r="C822" t="s">
        <s:v>1671</s:v>
      </s:c>
      <s:c r="D822">
        <s:v>1.3</s:v>
      </s:c>
      <s:c r="E822">
        <s:f>D822*3.5*70/200</s:f>
        <s:v>1.5925</s:v>
      </s:c>
    </s:row>
    <s:row r="823">
      <s:c r="A823" t="s">
        <s:v>1661</s:v>
      </s:c>
      <s:c r="B823" t="s">
        <s:v>1672</s:v>
      </s:c>
      <s:c r="C823" t="s">
        <s:v>1673</s:v>
      </s:c>
      <s:c r="D823">
        <s:v>1.3</s:v>
      </s:c>
      <s:c r="E823">
        <s:f>D823*3.5*70/200</s:f>
        <s:v>1.5925</s:v>
      </s:c>
    </s:row>
    <s:row r="824">
      <s:c r="A824" t="s">
        <s:v>1661</s:v>
      </s:c>
      <s:c r="B824" t="s">
        <s:v>1674</s:v>
      </s:c>
      <s:c r="C824" t="s">
        <s:v>1675</s:v>
      </s:c>
      <s:c r="D824">
        <s:v>1.8</s:v>
      </s:c>
      <s:c r="E824">
        <s:f>D824*3.5*70/200</s:f>
        <s:v>2.2050000000000001</s:v>
      </s:c>
    </s:row>
    <s:row r="825">
      <s:c r="A825" t="s">
        <s:v>1661</s:v>
      </s:c>
      <s:c r="B825" t="s">
        <s:v>1676</s:v>
      </s:c>
      <s:c r="C825" t="s">
        <s:v>1677</s:v>
      </s:c>
      <s:c r="D825">
        <s:v>2.8</s:v>
      </s:c>
      <s:c r="E825">
        <s:f>D825*3.5*70/200</s:f>
        <s:v>3.4299999999999993</s:v>
      </s:c>
    </s:row>
    <s:row r="826">
      <s:c r="A826" t="s">
        <s:v>1661</s:v>
      </s:c>
      <s:c r="B826" t="s">
        <s:v>1678</s:v>
      </s:c>
      <s:c r="C826" t="s">
        <s:v>1679</s:v>
      </s:c>
      <s:c r="D826">
        <s:v>6.3</s:v>
      </s:c>
      <s:c r="E826">
        <s:f>D826*3.5*70/200</s:f>
        <s:v>7.7175000000000002</s:v>
      </s:c>
    </s:row>
    <s:row r="827">
      <s:c r="A827" t="s">
        <s:v>1661</s:v>
      </s:c>
      <s:c r="B827" t="s">
        <s:v>1680</s:v>
      </s:c>
      <s:c r="C827" t="s">
        <s:v>1681</s:v>
      </s:c>
      <s:c r="D827">
        <s:v>6</s:v>
      </s:c>
      <s:c r="E827">
        <s:f>D827*3.5*70/200</s:f>
        <s:v>7.35</s:v>
      </s:c>
    </s:row>
    <s:row r="828">
      <s:c r="A828" t="s">
        <s:v>1661</s:v>
      </s:c>
      <s:c r="B828" t="s">
        <s:v>1682</s:v>
      </s:c>
      <s:c r="C828" t="s">
        <s:v>1683</s:v>
      </s:c>
      <s:c r="D828">
        <s:v>2.5</s:v>
      </s:c>
      <s:c r="E828">
        <s:f>D828*3.5*70/200</s:f>
        <s:v>3.0625</s:v>
      </s:c>
    </s:row>
    <s:row r="829">
      <s:c r="A829" t="s">
        <s:v>1661</s:v>
      </s:c>
      <s:c r="B829" t="s">
        <s:v>1684</s:v>
      </s:c>
      <s:c r="C829" t="s">
        <s:v>1685</s:v>
      </s:c>
      <s:c r="D829">
        <s:v>3.5</s:v>
      </s:c>
      <s:c r="E829">
        <s:f>D829*3.5*70/200</s:f>
        <s:v>4.2874999999999996</s:v>
      </s:c>
    </s:row>
    <s:row r="830">
      <s:c r="A830" t="s">
        <s:v>1686</s:v>
      </s:c>
      <s:c r="B830" t="s">
        <s:v>1687</s:v>
      </s:c>
      <s:c r="C830" t="s">
        <s:v>1688</s:v>
      </s:c>
      <s:c r="D830">
        <s:v>7</s:v>
      </s:c>
      <s:c r="E830">
        <s:f>D830*3.5*70/200</s:f>
        <s:v>8.5749999999999993</s:v>
      </s:c>
    </s:row>
    <s:row r="831">
      <s:c r="A831" t="s">
        <s:v>1686</s:v>
      </s:c>
      <s:c r="B831" t="s">
        <s:v>1689</s:v>
      </s:c>
      <s:c r="C831" t="s">
        <s:v>1690</s:v>
      </s:c>
      <s:c r="D831">
        <s:v>3.5</s:v>
      </s:c>
      <s:c r="E831">
        <s:f>D831*3.5*70/200</s:f>
        <s:v>4.2874999999999996</s:v>
      </s:c>
    </s:row>
    <s:row r="832">
      <s:c r="A832" t="s">
        <s:v>1686</s:v>
      </s:c>
      <s:c r="B832" t="s">
        <s:v>1691</s:v>
      </s:c>
      <s:c r="C832" t="s">
        <s:v>1692</s:v>
      </s:c>
      <s:c r="D832">
        <s:v>7.8</s:v>
      </s:c>
      <s:c r="E832">
        <s:f>D832*3.5*70/200</s:f>
        <s:v>9.5549999999999997</s:v>
      </s:c>
    </s:row>
    <s:row r="833">
      <s:c r="A833" t="s">
        <s:v>1686</s:v>
      </s:c>
      <s:c r="B833" t="s">
        <s:v>1693</s:v>
      </s:c>
      <s:c r="C833" t="s">
        <s:v>1694</s:v>
      </s:c>
      <s:c r="D833">
        <s:v>4</s:v>
      </s:c>
      <s:c r="E833">
        <s:f>D833*3.5*70/200</s:f>
        <s:v>4.9000000000000004</s:v>
      </s:c>
    </s:row>
    <s:row r="834">
      <s:c r="A834" t="s">
        <s:v>1686</s:v>
      </s:c>
      <s:c r="B834" t="s">
        <s:v>1695</s:v>
      </s:c>
      <s:c r="C834" t="s">
        <s:v>1696</s:v>
      </s:c>
      <s:c r="D834">
        <s:v>4.5</s:v>
      </s:c>
      <s:c r="E834">
        <s:f>D834*3.5*70/200</s:f>
        <s:v>5.5125000000000002</s:v>
      </s:c>
    </s:row>
    <s:row r="835">
      <s:c r="A835" t="s">
        <s:v>1686</s:v>
      </s:c>
      <s:c r="B835" t="s">
        <s:v>1697</s:v>
      </s:c>
      <s:c r="C835" t="s">
        <s:v>1698</s:v>
      </s:c>
      <s:c r="D835">
        <s:v>6.5</s:v>
      </s:c>
      <s:c r="E835">
        <s:f>D835*3.5*70/200</s:f>
        <s:v>7.9625000000000004</s:v>
      </s:c>
    </s:row>
    <s:row r="836">
      <s:c r="A836" t="s">
        <s:v>1686</s:v>
      </s:c>
      <s:c r="B836" t="s">
        <s:v>1699</s:v>
      </s:c>
      <s:c r="C836" t="s">
        <s:v>1700</s:v>
      </s:c>
      <s:c r="D836">
        <s:v>2.2999999999999998</s:v>
      </s:c>
      <s:c r="E836">
        <s:f>D836*3.5*70/200</s:f>
        <s:v>2.8174999999999994</s:v>
      </s:c>
    </s:row>
    <s:row r="837">
      <s:c r="A837" t="s">
        <s:v>1686</s:v>
      </s:c>
      <s:c r="B837" t="s">
        <s:v>1701</s:v>
      </s:c>
      <s:c r="C837" t="s">
        <s:v>1702</s:v>
      </s:c>
      <s:c r="D837">
        <s:v>8.3000000000000007</s:v>
      </s:c>
      <s:c r="E837">
        <s:f>D837*3.5*70/200</s:f>
        <s:v>10.1675</s:v>
      </s:c>
    </s:row>
    <s:row r="838">
      <s:c r="A838" t="s">
        <s:v>1686</s:v>
      </s:c>
      <s:c r="B838" t="s">
        <s:v>1703</s:v>
      </s:c>
      <s:c r="C838" t="s">
        <s:v>1704</s:v>
      </s:c>
      <s:c r="D838">
        <s:v>5.5</s:v>
      </s:c>
      <s:c r="E838">
        <s:f>D838*3.5*70/200</s:f>
        <s:v>6.7374999999999998</s:v>
      </s:c>
    </s:row>
    <s:row r="839">
      <s:c r="A839" t="s">
        <s:v>1686</s:v>
      </s:c>
      <s:c r="B839" t="s">
        <s:v>1705</s:v>
      </s:c>
      <s:c r="C839" t="s">
        <s:v>1706</s:v>
      </s:c>
      <s:c r="D839">
        <s:v>6</s:v>
      </s:c>
      <s:c r="E839">
        <s:f>D839*3.5*70/200</s:f>
        <s:v>7.35</s:v>
      </s:c>
    </s:row>
    <s:row r="840">
      <s:c r="A840" t="s">
        <s:v>1686</s:v>
      </s:c>
      <s:c r="B840" t="s">
        <s:v>1707</s:v>
      </s:c>
      <s:c r="C840" t="s">
        <s:v>1708</s:v>
      </s:c>
      <s:c r="D840">
        <s:v>8</s:v>
      </s:c>
      <s:c r="E840">
        <s:f>D840*3.5*70/200</s:f>
        <s:v>9.8000000000000007</s:v>
      </s:c>
    </s:row>
    <s:row r="841">
      <s:c r="A841" t="s">
        <s:v>1686</s:v>
      </s:c>
      <s:c r="B841" t="s">
        <s:v>1709</s:v>
      </s:c>
      <s:c r="C841" t="s">
        <s:v>1710</s:v>
      </s:c>
      <s:c r="D841">
        <s:v>10</s:v>
      </s:c>
      <s:c r="E841">
        <s:f>D841*3.5*70/200</s:f>
        <s:v>12.25</s:v>
      </s:c>
    </s:row>
    <s:row r="842">
      <s:c r="A842" t="s">
        <s:v>1686</s:v>
      </s:c>
      <s:c r="B842" t="s">
        <s:v>1711</s:v>
      </s:c>
      <s:c r="C842" t="s">
        <s:v>1712</s:v>
      </s:c>
      <s:c r="D842">
        <s:v>12</s:v>
      </s:c>
      <s:c r="E842">
        <s:f>D842*3.5*70/200</s:f>
        <s:v>14.7</s:v>
      </s:c>
    </s:row>
    <s:row r="843">
      <s:c r="A843" t="s">
        <s:v>1686</s:v>
      </s:c>
      <s:c r="B843" t="s">
        <s:v>1713</s:v>
      </s:c>
      <s:c r="C843" t="s">
        <s:v>1714</s:v>
      </s:c>
      <s:c r="D843">
        <s:v>3.8</s:v>
      </s:c>
      <s:c r="E843">
        <s:f>D843*3.5*70/200</s:f>
        <s:v>4.6549999999999994</s:v>
      </s:c>
    </s:row>
    <s:row r="844">
      <s:c r="A844" t="s">
        <s:v>1686</s:v>
      </s:c>
      <s:c r="B844" t="s">
        <s:v>1715</s:v>
      </s:c>
      <s:c r="C844" t="s">
        <s:v>1716</s:v>
      </s:c>
      <s:c r="D844">
        <s:v>5</s:v>
      </s:c>
      <s:c r="E844">
        <s:f>D844*3.5*70/200</s:f>
        <s:v>6.125</s:v>
      </s:c>
    </s:row>
    <s:row r="845">
      <s:c r="A845" t="s">
        <s:v>1686</s:v>
      </s:c>
      <s:c r="B845" t="s">
        <s:v>1717</s:v>
      </s:c>
      <s:c r="C845" t="s">
        <s:v>1718</s:v>
      </s:c>
      <s:c r="D845">
        <s:v>3.8</s:v>
      </s:c>
      <s:c r="E845">
        <s:f>D845*3.5*70/200</s:f>
        <s:v>4.6549999999999994</s:v>
      </s:c>
    </s:row>
    <s:row r="846">
      <s:c r="A846" t="s">
        <s:v>1686</s:v>
      </s:c>
      <s:c r="B846" t="s">
        <s:v>1719</s:v>
      </s:c>
      <s:c r="C846" t="s">
        <s:v>1720</s:v>
      </s:c>
      <s:c r="D846">
        <s:v>5.3</s:v>
      </s:c>
      <s:c r="E846">
        <s:f>D846*3.5*70/200</s:f>
        <s:v>6.4924999999999997</s:v>
      </s:c>
    </s:row>
    <s:row r="847">
      <s:c r="A847" t="s">
        <s:v>1686</s:v>
      </s:c>
      <s:c r="B847" t="s">
        <s:v>1721</s:v>
      </s:c>
      <s:c r="C847" t="s">
        <s:v>1722</s:v>
      </s:c>
      <s:c r="D847">
        <s:v>7</s:v>
      </s:c>
      <s:c r="E847">
        <s:f>D847*3.5*70/200</s:f>
        <s:v>8.5749999999999993</s:v>
      </s:c>
    </s:row>
    <s:row r="848">
      <s:c r="A848" t="s">
        <s:v>1686</s:v>
      </s:c>
      <s:c r="B848" t="s">
        <s:v>1723</s:v>
      </s:c>
      <s:c r="C848" t="s">
        <s:v>1724</s:v>
      </s:c>
      <s:c r="D848">
        <s:v>8.8000000000000007</s:v>
      </s:c>
      <s:c r="E848">
        <s:f>D848*3.5*70/200</s:f>
        <s:v>10.780000000000003</s:v>
      </s:c>
    </s:row>
    <s:row r="849">
      <s:c r="A849" t="s">
        <s:v>1686</s:v>
      </s:c>
      <s:c r="B849" t="s">
        <s:v>1725</s:v>
      </s:c>
      <s:c r="C849" t="s">
        <s:v>1726</s:v>
      </s:c>
      <s:c r="D849">
        <s:v>10</s:v>
      </s:c>
      <s:c r="E849">
        <s:f>D849*3.5*70/200</s:f>
        <s:v>12.25</s:v>
      </s:c>
    </s:row>
    <s:row r="850">
      <s:c r="A850" t="s">
        <s:v>1686</s:v>
      </s:c>
      <s:c r="B850" t="s">
        <s:v>1727</s:v>
      </s:c>
      <s:c r="C850" t="s">
        <s:v>1728</s:v>
      </s:c>
      <s:c r="D850">
        <s:v>8.5</s:v>
      </s:c>
      <s:c r="E850">
        <s:f>D850*3.5*70/200</s:f>
        <s:v>10.4125</s:v>
      </s:c>
    </s:row>
    <s:row r="851">
      <s:c r="A851" t="s">
        <s:v>1686</s:v>
      </s:c>
      <s:c r="B851" t="s">
        <s:v>1729</s:v>
      </s:c>
      <s:c r="C851" t="s">
        <s:v>1730</s:v>
      </s:c>
      <s:c r="D851">
        <s:v>15.5</s:v>
      </s:c>
      <s:c r="E851">
        <s:f>D851*3.5*70/200</s:f>
        <s:v>18.987500000000001</s:v>
      </s:c>
    </s:row>
    <s:row r="852">
      <s:c r="A852" t="s">
        <s:v>1686</s:v>
      </s:c>
      <s:c r="B852" t="s">
        <s:v>1731</s:v>
      </s:c>
      <s:c r="C852" t="s">
        <s:v>1732</s:v>
      </s:c>
      <s:c r="D852">
        <s:v>16.3</s:v>
      </s:c>
      <s:c r="E852">
        <s:f>D852*3.5*70/200</s:f>
        <s:v>19.967500000000001</s:v>
      </s:c>
    </s:row>
    <s:row r="853">
      <s:c r="A853" t="s">
        <s:v>1686</s:v>
      </s:c>
      <s:c r="B853" t="s">
        <s:v>1733</s:v>
      </s:c>
      <s:c r="C853" t="s">
        <s:v>1734</s:v>
      </s:c>
      <s:c r="D853">
        <s:v>6.5</s:v>
      </s:c>
      <s:c r="E853">
        <s:f>D853*3.5*70/200</s:f>
        <s:v>7.9625000000000004</s:v>
      </s:c>
    </s:row>
    <s:row r="854">
      <s:c r="A854" t="s">
        <s:v>1686</s:v>
      </s:c>
      <s:c r="B854" t="s">
        <s:v>1735</s:v>
      </s:c>
      <s:c r="C854" t="s">
        <s:v>1736</s:v>
      </s:c>
      <s:c r="D854">
        <s:v>7.5</s:v>
      </s:c>
      <s:c r="E854">
        <s:f>D854*3.5*70/200</s:f>
        <s:v>9.1875</s:v>
      </s:c>
    </s:row>
    <s:row r="855">
      <s:c r="A855" t="s">
        <s:v>1686</s:v>
      </s:c>
      <s:c r="B855" t="s">
        <s:v>1737</s:v>
      </s:c>
      <s:c r="C855" t="s">
        <s:v>1738</s:v>
      </s:c>
      <s:c r="D855">
        <s:v>10</s:v>
      </s:c>
      <s:c r="E855">
        <s:f>D855*3.5*70/200</s:f>
        <s:v>12.25</s:v>
      </s:c>
    </s:row>
    <s:row r="856">
      <s:c r="A856" t="s">
        <s:v>1686</s:v>
      </s:c>
      <s:c r="B856" t="s">
        <s:v>1739</s:v>
      </s:c>
      <s:c r="C856" t="s">
        <s:v>1740</s:v>
      </s:c>
      <s:c r="D856">
        <s:v>3.5</s:v>
      </s:c>
      <s:c r="E856">
        <s:f>D856*3.5*70/200</s:f>
        <s:v>4.2874999999999996</s:v>
      </s:c>
    </s:row>
    <s:row r="857">
      <s:c r="A857" t="s">
        <s:v>1686</s:v>
      </s:c>
      <s:c r="B857" t="s">
        <s:v>1741</s:v>
      </s:c>
      <s:c r="C857" t="s">
        <s:v>1742</s:v>
      </s:c>
      <s:c r="D857">
        <s:v>4.5</s:v>
      </s:c>
      <s:c r="E857">
        <s:f>D857*3.5*70/200</s:f>
        <s:v>5.5125000000000002</s:v>
      </s:c>
    </s:row>
    <s:row r="858">
      <s:c r="A858" t="s">
        <s:v>1686</s:v>
      </s:c>
      <s:c r="B858" t="s">
        <s:v>1743</s:v>
      </s:c>
      <s:c r="C858" t="s">
        <s:v>1744</s:v>
      </s:c>
      <s:c r="D858">
        <s:v>6</s:v>
      </s:c>
      <s:c r="E858">
        <s:f>D858*3.5*70/200</s:f>
        <s:v>7.35</s:v>
      </s:c>
    </s:row>
    <s:row r="859">
      <s:c r="A859" t="s">
        <s:v>1686</s:v>
      </s:c>
      <s:c r="B859" t="s">
        <s:v>1745</s:v>
      </s:c>
      <s:c r="C859" t="s">
        <s:v>1746</s:v>
      </s:c>
      <s:c r="D859">
        <s:v>3.8</s:v>
      </s:c>
      <s:c r="E859">
        <s:f>D859*3.5*70/200</s:f>
        <s:v>4.6549999999999994</s:v>
      </s:c>
    </s:row>
    <s:row r="860">
      <s:c r="A860" t="s">
        <s:v>1686</s:v>
      </s:c>
      <s:c r="B860" t="s">
        <s:v>1747</s:v>
      </s:c>
      <s:c r="C860" t="s">
        <s:v>1748</s:v>
      </s:c>
      <s:c r="D860">
        <s:v>5.3</s:v>
      </s:c>
      <s:c r="E860">
        <s:f>D860*3.5*70/200</s:f>
        <s:v>6.4924999999999997</s:v>
      </s:c>
    </s:row>
    <s:row r="861">
      <s:c r="A861" t="s">
        <s:v>1686</s:v>
      </s:c>
      <s:c r="B861" t="s">
        <s:v>1749</s:v>
      </s:c>
      <s:c r="C861" t="s">
        <s:v>1750</s:v>
      </s:c>
      <s:c r="D861">
        <s:v>2.5</s:v>
      </s:c>
      <s:c r="E861">
        <s:f>D861*3.5*70/200</s:f>
        <s:v>3.0625</s:v>
      </s:c>
    </s:row>
    <s:row r="862">
      <s:c r="A862" t="s">
        <s:v>1686</s:v>
      </s:c>
      <s:c r="B862" t="s">
        <s:v>1751</s:v>
      </s:c>
      <s:c r="C862" t="s">
        <s:v>1752</s:v>
      </s:c>
      <s:c r="D862">
        <s:v>4.5</s:v>
      </s:c>
      <s:c r="E862">
        <s:f>D862*3.5*70/200</s:f>
        <s:v>5.5125000000000002</s:v>
      </s:c>
    </s:row>
    <s:row r="863">
      <s:c r="A863" t="s">
        <s:v>1686</s:v>
      </s:c>
      <s:c r="B863" t="s">
        <s:v>1753</s:v>
      </s:c>
      <s:c r="C863" t="s">
        <s:v>1754</s:v>
      </s:c>
      <s:c r="D863">
        <s:v>8</s:v>
      </s:c>
      <s:c r="E863">
        <s:f>D863*3.5*70/200</s:f>
        <s:v>9.8000000000000007</s:v>
      </s:c>
    </s:row>
    <s:row r="864">
      <s:c r="A864" t="s">
        <s:v>1686</s:v>
      </s:c>
      <s:c r="B864" t="s">
        <s:v>1755</s:v>
      </s:c>
      <s:c r="C864" t="s">
        <s:v>1756</s:v>
      </s:c>
      <s:c r="D864">
        <s:v>3.8</s:v>
      </s:c>
      <s:c r="E864">
        <s:f>D864*3.5*70/200</s:f>
        <s:v>4.6549999999999994</s:v>
      </s:c>
    </s:row>
    <s:row r="865">
      <s:c r="A865" t="s">
        <s:v>1686</s:v>
      </s:c>
      <s:c r="B865" t="s">
        <s:v>1757</s:v>
      </s:c>
      <s:c r="C865" t="s">
        <s:v>1758</s:v>
      </s:c>
      <s:c r="D865">
        <s:v>3.8</s:v>
      </s:c>
      <s:c r="E865">
        <s:f>D865*3.5*70/200</s:f>
        <s:v>4.6549999999999994</s:v>
      </s:c>
    </s:row>
    <s:row r="866">
      <s:c r="A866" t="s">
        <s:v>1686</s:v>
      </s:c>
      <s:c r="B866" t="s">
        <s:v>1759</s:v>
      </s:c>
      <s:c r="C866" t="s">
        <s:v>1760</s:v>
      </s:c>
      <s:c r="D866">
        <s:v>6.5</s:v>
      </s:c>
      <s:c r="E866">
        <s:f>D866*3.5*70/200</s:f>
        <s:v>7.9625000000000004</s:v>
      </s:c>
    </s:row>
    <s:row r="867">
      <s:c r="A867" t="s">
        <s:v>1686</s:v>
      </s:c>
      <s:c r="B867" t="s">
        <s:v>1761</s:v>
      </s:c>
      <s:c r="C867" t="s">
        <s:v>1762</s:v>
      </s:c>
      <s:c r="D867">
        <s:v>8</s:v>
      </s:c>
      <s:c r="E867">
        <s:f>D867*3.5*70/200</s:f>
        <s:v>9.8000000000000007</s:v>
      </s:c>
    </s:row>
    <s:row r="868">
      <s:c r="A868" t="s">
        <s:v>1686</s:v>
      </s:c>
      <s:c r="B868" t="s">
        <s:v>1763</s:v>
      </s:c>
      <s:c r="C868" t="s">
        <s:v>1764</s:v>
      </s:c>
      <s:c r="D868">
        <s:v>6.8</s:v>
      </s:c>
      <s:c r="E868">
        <s:f>D868*3.5*70/200</s:f>
        <s:v>8.33</s:v>
      </s:c>
    </s:row>
    <s:row r="869">
      <s:c r="A869" t="s">
        <s:v>1686</s:v>
      </s:c>
      <s:c r="B869" t="s">
        <s:v>1765</s:v>
      </s:c>
      <s:c r="C869" t="s">
        <s:v>1766</s:v>
      </s:c>
      <s:c r="D869">
        <s:v>4.5</s:v>
      </s:c>
      <s:c r="E869">
        <s:f>D869*3.5*70/200</s:f>
        <s:v>5.5125000000000002</s:v>
      </s:c>
    </s:row>
    <s:row r="870">
      <s:c r="A870" t="s">
        <s:v>1686</s:v>
      </s:c>
      <s:c r="B870" t="s">
        <s:v>1767</s:v>
      </s:c>
      <s:c r="C870" t="s">
        <s:v>1768</s:v>
      </s:c>
      <s:c r="D870">
        <s:v>9.3000000000000007</s:v>
      </s:c>
      <s:c r="E870">
        <s:f>D870*3.5*70/200</s:f>
        <s:v>11.392500000000002</s:v>
      </s:c>
    </s:row>
    <s:row r="871">
      <s:c r="A871" t="s">
        <s:v>1686</s:v>
      </s:c>
      <s:c r="B871" t="s">
        <s:v>1769</s:v>
      </s:c>
      <s:c r="C871" t="s">
        <s:v>1770</s:v>
      </s:c>
      <s:c r="D871">
        <s:v>7.5</s:v>
      </s:c>
      <s:c r="E871">
        <s:f>D871*3.5*70/200</s:f>
        <s:v>9.1875</s:v>
      </s:c>
    </s:row>
    <s:row r="872">
      <s:c r="A872" t="s">
        <s:v>1686</s:v>
      </s:c>
      <s:c r="B872" t="s">
        <s:v>1771</s:v>
      </s:c>
      <s:c r="C872" t="s">
        <s:v>1772</s:v>
      </s:c>
      <s:c r="D872">
        <s:v>7.5</s:v>
      </s:c>
      <s:c r="E872">
        <s:f>D872*3.5*70/200</s:f>
        <s:v>9.1875</s:v>
      </s:c>
    </s:row>
    <s:row r="873">
      <s:c r="A873" t="s">
        <s:v>1686</s:v>
      </s:c>
      <s:c r="B873" t="s">
        <s:v>1773</s:v>
      </s:c>
      <s:c r="C873" t="s">
        <s:v>1774</s:v>
      </s:c>
      <s:c r="D873">
        <s:v>4.5</s:v>
      </s:c>
      <s:c r="E873">
        <s:f>D873*3.5*70/200</s:f>
        <s:v>5.5125000000000002</s:v>
      </s:c>
    </s:row>
    <s:row r="874">
      <s:c r="A874" t="s">
        <s:v>1686</s:v>
      </s:c>
      <s:c r="B874" t="s">
        <s:v>1775</s:v>
      </s:c>
      <s:c r="C874" t="s">
        <s:v>1776</s:v>
      </s:c>
      <s:c r="D874">
        <s:v>7</s:v>
      </s:c>
      <s:c r="E874">
        <s:f>D874*3.5*70/200</s:f>
        <s:v>8.5749999999999993</s:v>
      </s:c>
    </s:row>
    <s:row r="875">
      <s:c r="A875" t="s">
        <s:v>1686</s:v>
      </s:c>
      <s:c r="B875" t="s">
        <s:v>1777</s:v>
      </s:c>
      <s:c r="C875" t="s">
        <s:v>1778</s:v>
      </s:c>
      <s:c r="D875">
        <s:v>4.3</s:v>
      </s:c>
      <s:c r="E875">
        <s:f>D875*3.5*70/200</s:f>
        <s:v>5.2675000000000001</s:v>
      </s:c>
    </s:row>
    <s:row r="876">
      <s:c r="A876" t="s">
        <s:v>1686</s:v>
      </s:c>
      <s:c r="B876" t="s">
        <s:v>1779</s:v>
      </s:c>
      <s:c r="C876" t="s">
        <s:v>1780</s:v>
      </s:c>
      <s:c r="D876">
        <s:v>2.2999999999999998</s:v>
      </s:c>
      <s:c r="E876">
        <s:f>D876*3.5*70/200</s:f>
        <s:v>2.8174999999999994</s:v>
      </s:c>
    </s:row>
    <s:row r="877">
      <s:c r="A877" t="s">
        <s:v>1686</s:v>
      </s:c>
      <s:c r="B877" t="s">
        <s:v>1781</s:v>
      </s:c>
      <s:c r="C877" t="s">
        <s:v>1782</s:v>
      </s:c>
      <s:c r="D877">
        <s:v>2.2999999999999998</s:v>
      </s:c>
      <s:c r="E877">
        <s:f>D877*3.5*70/200</s:f>
        <s:v>2.8174999999999994</s:v>
      </s:c>
    </s:row>
    <s:row r="878">
      <s:c r="A878" t="s">
        <s:v>1686</s:v>
      </s:c>
      <s:c r="B878" t="s">
        <s:v>1783</s:v>
      </s:c>
      <s:c r="C878" t="s">
        <s:v>1784</s:v>
      </s:c>
      <s:c r="D878">
        <s:v>2.8</s:v>
      </s:c>
      <s:c r="E878">
        <s:f>D878*3.5*70/200</s:f>
        <s:v>3.4299999999999993</s:v>
      </s:c>
    </s:row>
    <s:row r="879">
      <s:c r="A879" t="s">
        <s:v>1686</s:v>
      </s:c>
      <s:c r="B879" t="s">
        <s:v>1785</s:v>
      </s:c>
      <s:c r="C879" t="s">
        <s:v>1786</s:v>
      </s:c>
      <s:c r="D879">
        <s:v>3.5</s:v>
      </s:c>
      <s:c r="E879">
        <s:f>D879*3.5*70/200</s:f>
        <s:v>4.2874999999999996</s:v>
      </s:c>
    </s:row>
    <s:row r="880">
      <s:c r="A880" t="s">
        <s:v>1686</s:v>
      </s:c>
      <s:c r="B880" t="s">
        <s:v>1787</s:v>
      </s:c>
      <s:c r="C880" t="s">
        <s:v>1788</s:v>
      </s:c>
      <s:c r="D880">
        <s:v>2.5</s:v>
      </s:c>
      <s:c r="E880">
        <s:f>D880*3.5*70/200</s:f>
        <s:v>3.0625</s:v>
      </s:c>
    </s:row>
    <s:row r="881">
      <s:c r="A881" t="s">
        <s:v>1686</s:v>
      </s:c>
      <s:c r="B881" t="s">
        <s:v>1789</s:v>
      </s:c>
      <s:c r="C881" t="s">
        <s:v>1790</s:v>
      </s:c>
      <s:c r="D881">
        <s:v>2.5</s:v>
      </s:c>
      <s:c r="E881">
        <s:f>D881*3.5*70/200</s:f>
        <s:v>3.0625</s:v>
      </s:c>
    </s:row>
    <s:row r="882">
      <s:c r="A882" t="s">
        <s:v>1686</s:v>
      </s:c>
      <s:c r="B882" t="s">
        <s:v>1791</s:v>
      </s:c>
      <s:c r="C882" t="s">
        <s:v>1792</s:v>
      </s:c>
      <s:c r="D882">
        <s:v>3</s:v>
      </s:c>
      <s:c r="E882">
        <s:f>D882*3.5*70/200</s:f>
        <s:v>3.6749999999999998</s:v>
      </s:c>
    </s:row>
    <s:row r="883">
      <s:c r="A883" t="s">
        <s:v>1686</s:v>
      </s:c>
      <s:c r="B883" t="s">
        <s:v>1793</s:v>
      </s:c>
      <s:c r="C883" t="s">
        <s:v>1794</s:v>
      </s:c>
      <s:c r="D883">
        <s:v>3</s:v>
      </s:c>
      <s:c r="E883">
        <s:f>D883*3.5*70/200</s:f>
        <s:v>3.6749999999999998</s:v>
      </s:c>
    </s:row>
    <s:row r="884">
      <s:c r="A884" t="s">
        <s:v>1686</s:v>
      </s:c>
      <s:c r="B884" t="s">
        <s:v>1795</s:v>
      </s:c>
      <s:c r="C884" t="s">
        <s:v>1796</s:v>
      </s:c>
      <s:c r="D884">
        <s:v>3.3</s:v>
      </s:c>
      <s:c r="E884">
        <s:f>D884*3.5*70/200</s:f>
        <s:v>4.0424999999999995</s:v>
      </s:c>
    </s:row>
    <s:row r="885">
      <s:c r="A885" t="s">
        <s:v>1686</s:v>
      </s:c>
      <s:c r="B885" t="s">
        <s:v>1797</s:v>
      </s:c>
      <s:c r="C885" t="s">
        <s:v>1798</s:v>
      </s:c>
      <s:c r="D885">
        <s:v>3.8</s:v>
      </s:c>
      <s:c r="E885">
        <s:f>D885*3.5*70/200</s:f>
        <s:v>4.6549999999999994</s:v>
      </s:c>
    </s:row>
    <s:row r="886">
      <s:c r="A886" t="s">
        <s:v>1686</s:v>
      </s:c>
      <s:c r="B886" t="s">
        <s:v>1799</s:v>
      </s:c>
      <s:c r="C886" t="s">
        <s:v>1800</s:v>
      </s:c>
      <s:c r="D886">
        <s:v>4.8</s:v>
      </s:c>
      <s:c r="E886">
        <s:f>D886*3.5*70/200</s:f>
        <s:v>5.88</s:v>
      </s:c>
    </s:row>
    <s:row r="887">
      <s:c r="A887" t="s">
        <s:v>1686</s:v>
      </s:c>
      <s:c r="B887" t="s">
        <s:v>1801</s:v>
      </s:c>
      <s:c r="C887" t="s">
        <s:v>1802</s:v>
      </s:c>
      <s:c r="D887">
        <s:v>5.5</s:v>
      </s:c>
      <s:c r="E887">
        <s:f>D887*3.5*70/200</s:f>
        <s:v>6.7374999999999998</s:v>
      </s:c>
    </s:row>
    <s:row r="888">
      <s:c r="A888" t="s">
        <s:v>1686</s:v>
      </s:c>
      <s:c r="B888" t="s">
        <s:v>1803</s:v>
      </s:c>
      <s:c r="C888" t="s">
        <s:v>1804</s:v>
      </s:c>
      <s:c r="D888">
        <s:v>7</s:v>
      </s:c>
      <s:c r="E888">
        <s:f>D888*3.5*70/200</s:f>
        <s:v>8.5749999999999993</s:v>
      </s:c>
    </s:row>
    <s:row r="889">
      <s:c r="A889" t="s">
        <s:v>1686</s:v>
      </s:c>
      <s:c r="B889" t="s">
        <s:v>1805</s:v>
      </s:c>
      <s:c r="C889" t="s">
        <s:v>1806</s:v>
      </s:c>
      <s:c r="D889">
        <s:v>8.5</s:v>
      </s:c>
      <s:c r="E889">
        <s:f>D889*3.5*70/200</s:f>
        <s:v>10.4125</s:v>
      </s:c>
    </s:row>
    <s:row r="890">
      <s:c r="A890" t="s">
        <s:v>1686</s:v>
      </s:c>
      <s:c r="B890" t="s">
        <s:v>1807</s:v>
      </s:c>
      <s:c r="C890" t="s">
        <s:v>1808</s:v>
      </s:c>
      <s:c r="D890">
        <s:v>3.5</s:v>
      </s:c>
      <s:c r="E890">
        <s:f>D890*3.5*70/200</s:f>
        <s:v>4.2874999999999996</s:v>
      </s:c>
    </s:row>
    <s:row r="891">
      <s:c r="A891" t="s">
        <s:v>1686</s:v>
      </s:c>
      <s:c r="B891" t="s">
        <s:v>1809</s:v>
      </s:c>
      <s:c r="C891" t="s">
        <s:v>1810</s:v>
      </s:c>
      <s:c r="D891">
        <s:v>4</s:v>
      </s:c>
      <s:c r="E891">
        <s:f>D891*3.5*70/200</s:f>
        <s:v>4.9000000000000004</s:v>
      </s:c>
    </s:row>
    <s:row r="892">
      <s:c r="A892" t="s">
        <s:v>1686</s:v>
      </s:c>
      <s:c r="B892" t="s">
        <s:v>1811</s:v>
      </s:c>
      <s:c r="C892" t="s">
        <s:v>1812</s:v>
      </s:c>
      <s:c r="D892">
        <s:v>4.8</s:v>
      </s:c>
      <s:c r="E892">
        <s:f>D892*3.5*70/200</s:f>
        <s:v>5.88</s:v>
      </s:c>
    </s:row>
    <s:row r="893">
      <s:c r="A893" t="s">
        <s:v>1686</s:v>
      </s:c>
      <s:c r="B893" t="s">
        <s:v>1813</s:v>
      </s:c>
      <s:c r="C893" t="s">
        <s:v>1814</s:v>
      </s:c>
      <s:c r="D893">
        <s:v>4.5</s:v>
      </s:c>
      <s:c r="E893">
        <s:f>D893*3.5*70/200</s:f>
        <s:v>5.5125000000000002</s:v>
      </s:c>
    </s:row>
    <s:row r="894">
      <s:c r="A894" t="s">
        <s:v>1686</s:v>
      </s:c>
      <s:c r="B894" t="s">
        <s:v>1815</s:v>
      </s:c>
      <s:c r="C894" t="s">
        <s:v>1816</s:v>
      </s:c>
      <s:c r="D894">
        <s:v>4</s:v>
      </s:c>
      <s:c r="E894">
        <s:f>D894*3.5*70/200</s:f>
        <s:v>4.9000000000000004</s:v>
      </s:c>
    </s:row>
    <s:row r="895">
      <s:c r="A895" t="s">
        <s:v>1686</s:v>
      </s:c>
      <s:c r="B895" t="s">
        <s:v>1817</s:v>
      </s:c>
      <s:c r="C895" t="s">
        <s:v>1818</s:v>
      </s:c>
      <s:c r="D895">
        <s:v>2.5</s:v>
      </s:c>
      <s:c r="E895">
        <s:f>D895*3.5*70/200</s:f>
        <s:v>3.0625</s:v>
      </s:c>
    </s:row>
    <s:row r="896">
      <s:c r="A896" t="s">
        <s:v>1686</s:v>
      </s:c>
      <s:c r="B896" t="s">
        <s:v>1819</s:v>
      </s:c>
      <s:c r="C896" t="s">
        <s:v>1820</s:v>
      </s:c>
      <s:c r="D896">
        <s:v>4.3</s:v>
      </s:c>
      <s:c r="E896">
        <s:f>D896*3.5*70/200</s:f>
        <s:v>5.2675000000000001</s:v>
      </s:c>
    </s:row>
    <s:row r="897">
      <s:c r="A897" t="s">
        <s:v>1686</s:v>
      </s:c>
      <s:c r="B897" t="s">
        <s:v>1821</s:v>
      </s:c>
      <s:c r="C897" t="s">
        <s:v>1822</s:v>
      </s:c>
      <s:c r="D897">
        <s:v>5.3</s:v>
      </s:c>
      <s:c r="E897">
        <s:f>D897*3.5*70/200</s:f>
        <s:v>6.4924999999999997</s:v>
      </s:c>
    </s:row>
    <s:row r="898">
      <s:c r="A898" t="s">
        <s:v>1686</s:v>
      </s:c>
      <s:c r="B898" t="s">
        <s:v>1823</s:v>
      </s:c>
      <s:c r="C898" t="s">
        <s:v>1824</s:v>
      </s:c>
      <s:c r="D898">
        <s:v>8.5</s:v>
      </s:c>
      <s:c r="E898">
        <s:f>D898*3.5*70/200</s:f>
        <s:v>10.4125</s:v>
      </s:c>
    </s:row>
    <s:row r="899">
      <s:c r="A899" t="s">
        <s:v>1686</s:v>
      </s:c>
      <s:c r="B899" t="s">
        <s:v>1825</s:v>
      </s:c>
      <s:c r="C899" t="s">
        <s:v>1826</s:v>
      </s:c>
      <s:c r="D899">
        <s:v>8.8000000000000007</s:v>
      </s:c>
      <s:c r="E899">
        <s:f>D899*3.5*70/200</s:f>
        <s:v>10.780000000000003</s:v>
      </s:c>
    </s:row>
    <s:row r="900">
      <s:c r="A900" t="s">
        <s:v>1686</s:v>
      </s:c>
      <s:c r="B900" t="s">
        <s:v>1827</s:v>
      </s:c>
      <s:c r="C900" t="s">
        <s:v>1828</s:v>
      </s:c>
      <s:c r="D900">
        <s:v>10.8</s:v>
      </s:c>
      <s:c r="E900">
        <s:f>D900*3.5*70/200</s:f>
        <s:v>13.230000000000002</s:v>
      </s:c>
    </s:row>
    <s:row r="901">
      <s:c r="A901" t="s">
        <s:v>1686</s:v>
      </s:c>
      <s:c r="B901" t="s">
        <s:v>1829</s:v>
      </s:c>
      <s:c r="C901" t="s">
        <s:v>1830</s:v>
      </s:c>
      <s:c r="D901">
        <s:v>12.3</s:v>
      </s:c>
      <s:c r="E901">
        <s:f>D901*3.5*70/200</s:f>
        <s:v>15.067500000000003</s:v>
      </s:c>
    </s:row>
    <s:row r="902">
      <s:c r="A902" t="s">
        <s:v>1686</s:v>
      </s:c>
      <s:c r="B902" t="s">
        <s:v>1831</s:v>
      </s:c>
      <s:c r="C902" t="s">
        <s:v>1832</s:v>
      </s:c>
      <s:c r="D902">
        <s:v>6</s:v>
      </s:c>
      <s:c r="E902">
        <s:f>D902*3.5*70/200</s:f>
        <s:v>7.35</s:v>
      </s:c>
    </s:row>
    <s:row r="903">
      <s:c r="A903" t="s">
        <s:v>1686</s:v>
      </s:c>
      <s:c r="B903" t="s">
        <s:v>1833</s:v>
      </s:c>
      <s:c r="C903" t="s">
        <s:v>1834</s:v>
      </s:c>
      <s:c r="D903">
        <s:v>7.8</s:v>
      </s:c>
      <s:c r="E903">
        <s:f>D903*3.5*70/200</s:f>
        <s:v>9.5549999999999997</s:v>
      </s:c>
    </s:row>
    <s:row r="904">
      <s:c r="A904" t="s">
        <s:v>1686</s:v>
      </s:c>
      <s:c r="B904" t="s">
        <s:v>1835</s:v>
      </s:c>
      <s:c r="C904" t="s">
        <s:v>1836</s:v>
      </s:c>
      <s:c r="D904">
        <s:v>8</s:v>
      </s:c>
      <s:c r="E904">
        <s:f>D904*3.5*70/200</s:f>
        <s:v>9.8000000000000007</s:v>
      </s:c>
    </s:row>
    <s:row r="905">
      <s:c r="A905" t="s">
        <s:v>1686</s:v>
      </s:c>
      <s:c r="B905" t="s">
        <s:v>1837</s:v>
      </s:c>
      <s:c r="C905" t="s">
        <s:v>1838</s:v>
      </s:c>
      <s:c r="D905">
        <s:v>3.5</s:v>
      </s:c>
      <s:c r="E905">
        <s:f>D905*3.5*70/200</s:f>
        <s:v>4.2874999999999996</s:v>
      </s:c>
    </s:row>
    <s:row r="906">
      <s:c r="A906" t="s">
        <s:v>1686</s:v>
      </s:c>
      <s:c r="B906" t="s">
        <s:v>1839</s:v>
      </s:c>
      <s:c r="C906" t="s">
        <s:v>1840</s:v>
      </s:c>
      <s:c r="D906">
        <s:v>2.1</s:v>
      </s:c>
      <s:c r="E906">
        <s:f>D906*3.5*70/200</s:f>
        <s:v>2.5724999999999998</s:v>
      </s:c>
    </s:row>
    <s:row r="907">
      <s:c r="A907" t="s">
        <s:v>1686</s:v>
      </s:c>
      <s:c r="B907" t="s">
        <s:v>1841</s:v>
      </s:c>
      <s:c r="C907" t="s">
        <s:v>1842</s:v>
      </s:c>
      <s:c r="D907">
        <s:v>2.2999999999999998</s:v>
      </s:c>
      <s:c r="E907">
        <s:f>D907*3.5*70/200</s:f>
        <s:v>2.8174999999999994</s:v>
      </s:c>
    </s:row>
    <s:row r="908">
      <s:c r="A908" t="s">
        <s:v>1686</s:v>
      </s:c>
      <s:c r="B908" t="s">
        <s:v>1843</s:v>
      </s:c>
      <s:c r="C908" t="s">
        <s:v>1844</s:v>
      </s:c>
      <s:c r="D908">
        <s:v>2.8</s:v>
      </s:c>
      <s:c r="E908">
        <s:f>D908*3.5*70/200</s:f>
        <s:v>3.4299999999999993</s:v>
      </s:c>
    </s:row>
    <s:row r="909">
      <s:c r="A909" t="s">
        <s:v>1686</s:v>
      </s:c>
      <s:c r="B909" t="s">
        <s:v>1845</s:v>
      </s:c>
      <s:c r="C909" t="s">
        <s:v>1846</s:v>
      </s:c>
      <s:c r="D909">
        <s:v>3</s:v>
      </s:c>
      <s:c r="E909">
        <s:f>D909*3.5*70/200</s:f>
        <s:v>3.6749999999999998</s:v>
      </s:c>
    </s:row>
    <s:row r="910">
      <s:c r="A910" t="s">
        <s:v>1686</s:v>
      </s:c>
      <s:c r="B910" t="s">
        <s:v>1847</s:v>
      </s:c>
      <s:c r="C910" t="s">
        <s:v>1848</s:v>
      </s:c>
      <s:c r="D910">
        <s:v>3.5</s:v>
      </s:c>
      <s:c r="E910">
        <s:f>D910*3.5*70/200</s:f>
        <s:v>4.2874999999999996</s:v>
      </s:c>
    </s:row>
    <s:row r="911">
      <s:c r="A911" t="s">
        <s:v>1686</s:v>
      </s:c>
      <s:c r="B911" t="s">
        <s:v>1849</s:v>
      </s:c>
      <s:c r="C911" t="s">
        <s:v>1850</s:v>
      </s:c>
      <s:c r="D911">
        <s:v>3.8</s:v>
      </s:c>
      <s:c r="E911">
        <s:f>D911*3.5*70/200</s:f>
        <s:v>4.6549999999999994</s:v>
      </s:c>
    </s:row>
    <s:row r="912">
      <s:c r="A912" t="s">
        <s:v>1686</s:v>
      </s:c>
      <s:c r="B912" t="s">
        <s:v>1851</s:v>
      </s:c>
      <s:c r="C912" t="s">
        <s:v>1852</s:v>
      </s:c>
      <s:c r="D912">
        <s:v>4.8</s:v>
      </s:c>
      <s:c r="E912">
        <s:f>D912*3.5*70/200</s:f>
        <s:v>5.88</s:v>
      </s:c>
    </s:row>
    <s:row r="913">
      <s:c r="A913" t="s">
        <s:v>1686</s:v>
      </s:c>
      <s:c r="B913" t="s">
        <s:v>1853</s:v>
      </s:c>
      <s:c r="C913" t="s">
        <s:v>1854</s:v>
      </s:c>
      <s:c r="D913">
        <s:v>5.8</s:v>
      </s:c>
      <s:c r="E913">
        <s:f>D913*3.5*70/200</s:f>
        <s:v>7.1050000000000004</s:v>
      </s:c>
    </s:row>
    <s:row r="914">
      <s:c r="A914" t="s">
        <s:v>1686</s:v>
      </s:c>
      <s:c r="B914" t="s">
        <s:v>1855</s:v>
      </s:c>
      <s:c r="C914" t="s">
        <s:v>1856</s:v>
      </s:c>
      <s:c r="D914">
        <s:v>6.8</s:v>
      </s:c>
      <s:c r="E914">
        <s:f>D914*3.5*70/200</s:f>
        <s:v>8.33</s:v>
      </s:c>
    </s:row>
    <s:row r="915">
      <s:c r="A915" t="s">
        <s:v>1686</s:v>
      </s:c>
      <s:c r="B915" t="s">
        <s:v>1857</s:v>
      </s:c>
      <s:c r="C915" t="s">
        <s:v>1858</s:v>
      </s:c>
      <s:c r="D915">
        <s:v>8.3000000000000007</s:v>
      </s:c>
      <s:c r="E915">
        <s:f>D915*3.5*70/200</s:f>
        <s:v>10.1675</s:v>
      </s:c>
    </s:row>
    <s:row r="916">
      <s:c r="A916" t="s">
        <s:v>1686</s:v>
      </s:c>
      <s:c r="B916" t="s">
        <s:v>1859</s:v>
      </s:c>
      <s:c r="C916" t="s">
        <s:v>1860</s:v>
      </s:c>
      <s:c r="D916">
        <s:v>3.3</s:v>
      </s:c>
      <s:c r="E916">
        <s:f>D916*3.5*70/200</s:f>
        <s:v>4.0424999999999995</s:v>
      </s:c>
    </s:row>
    <s:row r="917">
      <s:c r="A917" t="s">
        <s:v>1686</s:v>
      </s:c>
      <s:c r="B917" t="s">
        <s:v>1861</s:v>
      </s:c>
      <s:c r="C917" t="s">
        <s:v>1862</s:v>
      </s:c>
      <s:c r="D917">
        <s:v>3.3</s:v>
      </s:c>
      <s:c r="E917">
        <s:f>D917*3.5*70/200</s:f>
        <s:v>4.0424999999999995</s:v>
      </s:c>
    </s:row>
    <s:row r="918">
      <s:c r="A918" t="s">
        <s:v>1686</s:v>
      </s:c>
      <s:c r="B918" t="s">
        <s:v>1863</s:v>
      </s:c>
      <s:c r="C918" t="s">
        <s:v>1864</s:v>
      </s:c>
      <s:c r="D918">
        <s:v>4.8</s:v>
      </s:c>
      <s:c r="E918">
        <s:f>D918*3.5*70/200</s:f>
        <s:v>5.88</s:v>
      </s:c>
    </s:row>
    <s:row r="919">
      <s:c r="A919" t="s">
        <s:v>1686</s:v>
      </s:c>
      <s:c r="B919" t="s">
        <s:v>1865</s:v>
      </s:c>
      <s:c r="C919" t="s">
        <s:v>1866</s:v>
      </s:c>
      <s:c r="D919">
        <s:v>5.8</s:v>
      </s:c>
      <s:c r="E919">
        <s:f>D919*3.5*70/200</s:f>
        <s:v>7.1050000000000004</s:v>
      </s:c>
    </s:row>
    <s:row r="920">
      <s:c r="A920" t="s">
        <s:v>1686</s:v>
      </s:c>
      <s:c r="B920" t="s">
        <s:v>1867</s:v>
      </s:c>
      <s:c r="C920" t="s">
        <s:v>1868</s:v>
      </s:c>
      <s:c r="D920">
        <s:v>8.3000000000000007</s:v>
      </s:c>
      <s:c r="E920">
        <s:f>D920*3.5*70/200</s:f>
        <s:v>10.1675</s:v>
      </s:c>
    </s:row>
    <s:row r="921">
      <s:c r="A921" t="s">
        <s:v>1686</s:v>
      </s:c>
      <s:c r="B921" t="s">
        <s:v>1869</s:v>
      </s:c>
      <s:c r="C921" t="s">
        <s:v>1870</s:v>
      </s:c>
      <s:c r="D921">
        <s:v>7.8</s:v>
      </s:c>
      <s:c r="E921">
        <s:f>D921*3.5*70/200</s:f>
        <s:v>9.5549999999999997</s:v>
      </s:c>
    </s:row>
    <s:row r="922">
      <s:c r="A922" t="s">
        <s:v>1686</s:v>
      </s:c>
      <s:c r="B922" t="s">
        <s:v>1871</s:v>
      </s:c>
      <s:c r="C922" t="s">
        <s:v>1872</s:v>
      </s:c>
      <s:c r="D922">
        <s:v>1.5</s:v>
      </s:c>
      <s:c r="E922">
        <s:f>D922*3.5*70/200</s:f>
        <s:v>1.8374999999999999</s:v>
      </s:c>
    </s:row>
    <s:row r="923">
      <s:c r="A923" t="s">
        <s:v>1873</s:v>
      </s:c>
      <s:c r="B923" t="s">
        <s:v>1874</s:v>
      </s:c>
      <s:c r="C923" t="s">
        <s:v>1875</s:v>
      </s:c>
      <s:c r="D923">
        <s:v>2.5</s:v>
      </s:c>
      <s:c r="E923">
        <s:f>D923*3.5*70/200</s:f>
        <s:v>3.0625</s:v>
      </s:c>
    </s:row>
    <s:row r="924">
      <s:c r="A924" t="s">
        <s:v>1873</s:v>
      </s:c>
      <s:c r="B924" t="s">
        <s:v>1876</s:v>
      </s:c>
      <s:c r="C924" t="s">
        <s:v>1877</s:v>
      </s:c>
      <s:c r="D924">
        <s:v>1.3</s:v>
      </s:c>
      <s:c r="E924">
        <s:f>D924*3.5*70/200</s:f>
        <s:v>1.5925</s:v>
      </s:c>
    </s:row>
    <s:row r="925">
      <s:c r="A925" t="s">
        <s:v>1873</s:v>
      </s:c>
      <s:c r="B925" t="s">
        <s:v>1878</s:v>
      </s:c>
      <s:c r="C925" t="s">
        <s:v>1879</s:v>
      </s:c>
      <s:c r="D925">
        <s:v>4</s:v>
      </s:c>
      <s:c r="E925">
        <s:f>D925*3.5*70/200</s:f>
        <s:v>4.9000000000000004</s:v>
      </s:c>
    </s:row>
    <s:row r="926">
      <s:c r="A926" t="s">
        <s:v>1873</s:v>
      </s:c>
      <s:c r="B926" t="s">
        <s:v>1880</s:v>
      </s:c>
      <s:c r="C926" t="s">
        <s:v>1881</s:v>
      </s:c>
      <s:c r="D926">
        <s:v>3.3</s:v>
      </s:c>
      <s:c r="E926">
        <s:f>D926*3.5*70/200</s:f>
        <s:v>4.0424999999999995</s:v>
      </s:c>
    </s:row>
    <s:row r="927">
      <s:c r="A927" t="s">
        <s:v>1873</s:v>
      </s:c>
      <s:c r="B927" t="s">
        <s:v>1882</s:v>
      </s:c>
      <s:c r="C927" t="s">
        <s:v>1883</s:v>
      </s:c>
      <s:c r="D927">
        <s:v>7</s:v>
      </s:c>
      <s:c r="E927">
        <s:f>D927*3.5*70/200</s:f>
        <s:v>8.5749999999999993</s:v>
      </s:c>
    </s:row>
    <s:row r="928">
      <s:c r="A928" t="s">
        <s:v>1873</s:v>
      </s:c>
      <s:c r="B928" t="s">
        <s:v>1884</s:v>
      </s:c>
      <s:c r="C928" t="s">
        <s:v>1885</s:v>
      </s:c>
      <s:c r="D928">
        <s:v>2.8</s:v>
      </s:c>
      <s:c r="E928">
        <s:f>D928*3.5*70/200</s:f>
        <s:v>3.4299999999999993</s:v>
      </s:c>
    </s:row>
    <s:row r="929">
      <s:c r="A929" t="s">
        <s:v>1873</s:v>
      </s:c>
      <s:c r="B929" t="s">
        <s:v>1886</s:v>
      </s:c>
      <s:c r="C929" t="s">
        <s:v>1887</s:v>
      </s:c>
      <s:c r="D929">
        <s:v>5.8</s:v>
      </s:c>
      <s:c r="E929">
        <s:f>D929*3.5*70/200</s:f>
        <s:v>7.1050000000000004</s:v>
      </s:c>
    </s:row>
    <s:row r="930">
      <s:c r="A930" t="s">
        <s:v>1873</s:v>
      </s:c>
      <s:c r="B930" t="s">
        <s:v>1888</s:v>
      </s:c>
      <s:c r="C930" t="s">
        <s:v>1889</s:v>
      </s:c>
      <s:c r="D930">
        <s:v>12.5</s:v>
      </s:c>
      <s:c r="E930">
        <s:f>D930*3.5*70/200</s:f>
        <s:v>15.3125</s:v>
      </s:c>
    </s:row>
    <s:row r="931">
      <s:c r="A931" t="s">
        <s:v>1873</s:v>
      </s:c>
      <s:c r="B931" t="s">
        <s:v>1890</s:v>
      </s:c>
      <s:c r="C931" t="s">
        <s:v>1891</s:v>
      </s:c>
      <s:c r="D931">
        <s:v>3.5</s:v>
      </s:c>
      <s:c r="E931">
        <s:f>D931*3.5*70/200</s:f>
        <s:v>4.2874999999999996</s:v>
      </s:c>
    </s:row>
    <s:row r="932">
      <s:c r="A932" t="s">
        <s:v>1873</s:v>
      </s:c>
      <s:c r="B932" t="s">
        <s:v>1892</s:v>
      </s:c>
      <s:c r="C932" t="s">
        <s:v>1893</s:v>
      </s:c>
      <s:c r="D932">
        <s:v>12</s:v>
      </s:c>
      <s:c r="E932">
        <s:f>D932*3.5*70/200</s:f>
        <s:v>14.7</s:v>
      </s:c>
    </s:row>
    <s:row r="933">
      <s:c r="A933" t="s">
        <s:v>1873</s:v>
      </s:c>
      <s:c r="B933" t="s">
        <s:v>1894</s:v>
      </s:c>
      <s:c r="C933" t="s">
        <s:v>1895</s:v>
      </s:c>
      <s:c r="D933">
        <s:v>3</s:v>
      </s:c>
      <s:c r="E933">
        <s:f>D933*3.5*70/200</s:f>
        <s:v>3.6749999999999998</s:v>
      </s:c>
    </s:row>
    <s:row r="934">
      <s:c r="A934" t="s">
        <s:v>1873</s:v>
      </s:c>
      <s:c r="B934" t="s">
        <s:v>1896</s:v>
      </s:c>
      <s:c r="C934" t="s">
        <s:v>1897</s:v>
      </s:c>
      <s:c r="D934">
        <s:v>5</s:v>
      </s:c>
      <s:c r="E934">
        <s:f>D934*3.5*70/200</s:f>
        <s:v>6.125</s:v>
      </s:c>
    </s:row>
    <s:row r="935">
      <s:c r="A935" t="s">
        <s:v>1873</s:v>
      </s:c>
      <s:c r="B935" t="s">
        <s:v>1898</s:v>
      </s:c>
      <s:c r="C935" t="s">
        <s:v>1899</s:v>
      </s:c>
      <s:c r="D935">
        <s:v>13.5</s:v>
      </s:c>
      <s:c r="E935">
        <s:f>D935*3.5*70/200</s:f>
        <s:v>16.537500000000001</s:v>
      </s:c>
    </s:row>
    <s:row r="936">
      <s:c r="A936" t="s">
        <s:v>1873</s:v>
      </s:c>
      <s:c r="B936" t="s">
        <s:v>1900</s:v>
      </s:c>
      <s:c r="C936" t="s">
        <s:v>1901</s:v>
      </s:c>
      <s:c r="D936">
        <s:v>9</s:v>
      </s:c>
      <s:c r="E936">
        <s:f>D936*3.5*70/200</s:f>
        <s:v>11.025</s:v>
      </s:c>
    </s:row>
    <s:row r="937">
      <s:c r="A937" t="s">
        <s:v>1873</s:v>
      </s:c>
      <s:c r="B937" t="s">
        <s:v>1902</s:v>
      </s:c>
      <s:c r="C937" t="s">
        <s:v>1903</s:v>
      </s:c>
      <s:c r="D937">
        <s:v>4</s:v>
      </s:c>
      <s:c r="E937">
        <s:f>D937*3.5*70/200</s:f>
        <s:v>4.9000000000000004</s:v>
      </s:c>
    </s:row>
    <s:row r="938">
      <s:c r="A938" t="s">
        <s:v>1873</s:v>
      </s:c>
      <s:c r="B938" t="s">
        <s:v>1904</s:v>
      </s:c>
      <s:c r="C938" t="s">
        <s:v>1905</s:v>
      </s:c>
      <s:c r="D938">
        <s:v>15.5</s:v>
      </s:c>
      <s:c r="E938">
        <s:f>D938*3.5*70/200</s:f>
        <s:v>18.987500000000001</s:v>
      </s:c>
    </s:row>
    <s:row r="939">
      <s:c r="A939" t="s">
        <s:v>1873</s:v>
      </s:c>
      <s:c r="B939" t="s">
        <s:v>1906</s:v>
      </s:c>
      <s:c r="C939" t="s">
        <s:v>1907</s:v>
      </s:c>
      <s:c r="D939">
        <s:v>15.5</s:v>
      </s:c>
      <s:c r="E939">
        <s:f>D939*3.5*70/200</s:f>
        <s:v>18.987500000000001</s:v>
      </s:c>
    </s:row>
    <s:row r="940">
      <s:c r="A940" t="s">
        <s:v>1873</s:v>
      </s:c>
      <s:c r="B940" t="s">
        <s:v>1908</s:v>
      </s:c>
      <s:c r="C940" t="s">
        <s:v>1909</s:v>
      </s:c>
      <s:c r="D940">
        <s:v>3</s:v>
      </s:c>
      <s:c r="E940">
        <s:f>D940*3.5*70/200</s:f>
        <s:v>3.6749999999999998</s:v>
      </s:c>
    </s:row>
    <s:row r="941">
      <s:c r="A941" t="s">
        <s:v>1873</s:v>
      </s:c>
      <s:c r="B941" t="s">
        <s:v>1910</s:v>
      </s:c>
      <s:c r="C941" t="s">
        <s:v>1911</s:v>
      </s:c>
      <s:c r="D941">
        <s:v>4.5</s:v>
      </s:c>
      <s:c r="E941">
        <s:f>D941*3.5*70/200</s:f>
        <s:v>5.5125000000000002</s:v>
      </s:c>
    </s:row>
    <s:row r="942">
      <s:c r="A942" t="s">
        <s:v>1873</s:v>
      </s:c>
      <s:c r="B942" t="s">
        <s:v>1912</s:v>
      </s:c>
      <s:c r="C942" t="s">
        <s:v>1913</s:v>
      </s:c>
      <s:c r="D942">
        <s:v>9.3000000000000007</s:v>
      </s:c>
      <s:c r="E942">
        <s:f>D942*3.5*70/200</s:f>
        <s:v>11.392500000000002</s:v>
      </s:c>
    </s:row>
    <s:row r="943">
      <s:c r="A943" t="s">
        <s:v>1873</s:v>
      </s:c>
      <s:c r="B943" t="s">
        <s:v>1914</s:v>
      </s:c>
      <s:c r="C943" t="s">
        <s:v>1915</s:v>
      </s:c>
      <s:c r="D943">
        <s:v>3.3</s:v>
      </s:c>
      <s:c r="E943">
        <s:f>D943*3.5*70/200</s:f>
        <s:v>4.0424999999999995</s:v>
      </s:c>
    </s:row>
    <s:row r="944">
      <s:c r="A944" t="s">
        <s:v>1873</s:v>
      </s:c>
      <s:c r="B944" t="s">
        <s:v>1916</s:v>
      </s:c>
      <s:c r="C944" t="s">
        <s:v>1917</s:v>
      </s:c>
      <s:c r="D944">
        <s:v>2</s:v>
      </s:c>
      <s:c r="E944">
        <s:f>D944*3.5*70/200</s:f>
        <s:v>2.4500000000000002</s:v>
      </s:c>
    </s:row>
    <s:row r="945">
      <s:c r="A945" t="s">
        <s:v>1873</s:v>
      </s:c>
      <s:c r="B945" t="s">
        <s:v>1918</s:v>
      </s:c>
      <s:c r="C945" t="s">
        <s:v>1919</s:v>
      </s:c>
      <s:c r="D945">
        <s:v>6</s:v>
      </s:c>
      <s:c r="E945">
        <s:f>D945*3.5*70/200</s:f>
        <s:v>7.35</s:v>
      </s:c>
    </s:row>
    <s:row r="946">
      <s:c r="A946" t="s">
        <s:v>1873</s:v>
      </s:c>
      <s:c r="B946" t="s">
        <s:v>1920</s:v>
      </s:c>
      <s:c r="C946" t="s">
        <s:v>1921</s:v>
      </s:c>
      <s:c r="D946">
        <s:v>7</s:v>
      </s:c>
      <s:c r="E946">
        <s:f>D946*3.5*70/200</s:f>
        <s:v>8.5749999999999993</s:v>
      </s:c>
    </s:row>
    <s:row r="947">
      <s:c r="A947" t="s">
        <s:v>1873</s:v>
      </s:c>
      <s:c r="B947" t="s">
        <s:v>1922</s:v>
      </s:c>
      <s:c r="C947" t="s">
        <s:v>1923</s:v>
      </s:c>
      <s:c r="D947">
        <s:v>15.8</s:v>
      </s:c>
      <s:c r="E947">
        <s:f>D947*3.5*70/200</s:f>
        <s:v>19.355000000000004</s:v>
      </s:c>
    </s:row>
    <s:row r="948">
      <s:c r="A948" t="s">
        <s:v>1873</s:v>
      </s:c>
      <s:c r="B948" t="s">
        <s:v>1924</s:v>
      </s:c>
      <s:c r="C948" t="s">
        <s:v>1925</s:v>
      </s:c>
      <s:c r="D948">
        <s:v>11.8</s:v>
      </s:c>
      <s:c r="E948">
        <s:f>D948*3.5*70/200</s:f>
        <s:v>14.455000000000002</s:v>
      </s:c>
    </s:row>
    <s:row r="949">
      <s:c r="A949" t="s">
        <s:v>1873</s:v>
      </s:c>
      <s:c r="B949" t="s">
        <s:v>1926</s:v>
      </s:c>
      <s:c r="C949" t="s">
        <s:v>1927</s:v>
      </s:c>
      <s:c r="D949">
        <s:v>7</s:v>
      </s:c>
      <s:c r="E949">
        <s:f>D949*3.5*70/200</s:f>
        <s:v>8.5749999999999993</s:v>
      </s:c>
    </s:row>
    <s:row r="950">
      <s:c r="A950" t="s">
        <s:v>1873</s:v>
      </s:c>
      <s:c r="B950" t="s">
        <s:v>1928</s:v>
      </s:c>
      <s:c r="C950" t="s">
        <s:v>1929</s:v>
      </s:c>
      <s:c r="D950">
        <s:v>5.3</s:v>
      </s:c>
      <s:c r="E950">
        <s:f>D950*3.5*70/200</s:f>
        <s:v>6.4924999999999997</s:v>
      </s:c>
    </s:row>
    <s:row r="951">
      <s:c r="A951" t="s">
        <s:v>1873</s:v>
      </s:c>
      <s:c r="B951" t="s">
        <s:v>1930</s:v>
      </s:c>
      <s:c r="C951" t="s">
        <s:v>1931</s:v>
      </s:c>
      <s:c r="D951">
        <s:v>5.8</s:v>
      </s:c>
      <s:c r="E951">
        <s:f>D951*3.5*70/200</s:f>
        <s:v>7.1050000000000004</s:v>
      </s:c>
    </s:row>
    <s:row r="952">
      <s:c r="A952" t="s">
        <s:v>1873</s:v>
      </s:c>
      <s:c r="B952" t="s">
        <s:v>1932</s:v>
      </s:c>
      <s:c r="C952" t="s">
        <s:v>1933</s:v>
      </s:c>
      <s:c r="D952">
        <s:v>5.5</s:v>
      </s:c>
      <s:c r="E952">
        <s:f>D952*3.5*70/200</s:f>
        <s:v>6.7374999999999998</s:v>
      </s:c>
    </s:row>
    <s:row r="953">
      <s:c r="A953" t="s">
        <s:v>1873</s:v>
      </s:c>
      <s:c r="B953" t="s">
        <s:v>1934</s:v>
      </s:c>
      <s:c r="C953" t="s">
        <s:v>1935</s:v>
      </s:c>
      <s:c r="D953">
        <s:v>6.8</s:v>
      </s:c>
      <s:c r="E953">
        <s:f>D953*3.5*70/200</s:f>
        <s:v>8.33</s:v>
      </s:c>
    </s:row>
    <s:row r="954">
      <s:c r="A954" t="s">
        <s:v>1873</s:v>
      </s:c>
      <s:c r="B954" t="s">
        <s:v>1936</s:v>
      </s:c>
      <s:c r="C954" t="s">
        <s:v>1937</s:v>
      </s:c>
      <s:c r="D954">
        <s:v>5</s:v>
      </s:c>
      <s:c r="E954">
        <s:f>D954*3.5*70/200</s:f>
        <s:v>6.125</s:v>
      </s:c>
    </s:row>
    <s:row r="955">
      <s:c r="A955" t="s">
        <s:v>1873</s:v>
      </s:c>
      <s:c r="B955" t="s">
        <s:v>1938</s:v>
      </s:c>
      <s:c r="C955" t="s">
        <s:v>1939</s:v>
      </s:c>
      <s:c r="D955">
        <s:v>3</s:v>
      </s:c>
      <s:c r="E955">
        <s:f>D955*3.5*70/200</s:f>
        <s:v>3.6749999999999998</s:v>
      </s:c>
    </s:row>
    <s:row r="956">
      <s:c r="A956" t="s">
        <s:v>1873</s:v>
      </s:c>
      <s:c r="B956" t="s">
        <s:v>1940</s:v>
      </s:c>
      <s:c r="C956" t="s">
        <s:v>1941</s:v>
      </s:c>
      <s:c r="D956">
        <s:v>6.8</s:v>
      </s:c>
      <s:c r="E956">
        <s:f>D956*3.5*70/200</s:f>
        <s:v>8.33</s:v>
      </s:c>
    </s:row>
    <s:row r="957">
      <s:c r="A957" t="s">
        <s:v>1873</s:v>
      </s:c>
      <s:c r="B957" t="s">
        <s:v>1942</s:v>
      </s:c>
      <s:c r="C957" t="s">
        <s:v>1943</s:v>
      </s:c>
      <s:c r="D957">
        <s:v>5</s:v>
      </s:c>
      <s:c r="E957">
        <s:f>D957*3.5*70/200</s:f>
        <s:v>6.125</s:v>
      </s:c>
    </s:row>
    <s:row r="958">
      <s:c r="A958" t="s">
        <s:v>1873</s:v>
      </s:c>
      <s:c r="B958" t="s">
        <s:v>1944</s:v>
      </s:c>
      <s:c r="C958" t="s">
        <s:v>1945</s:v>
      </s:c>
      <s:c r="D958">
        <s:v>6.5</s:v>
      </s:c>
      <s:c r="E958">
        <s:f>D958*3.5*70/200</s:f>
        <s:v>7.9625000000000004</s:v>
      </s:c>
    </s:row>
    <s:row r="959">
      <s:c r="A959" t="s">
        <s:v>1873</s:v>
      </s:c>
      <s:c r="B959" t="s">
        <s:v>1946</s:v>
      </s:c>
      <s:c r="C959" t="s">
        <s:v>1947</s:v>
      </s:c>
      <s:c r="D959">
        <s:v>2.8</s:v>
      </s:c>
      <s:c r="E959">
        <s:f>D959*3.5*70/200</s:f>
        <s:v>3.4299999999999993</s:v>
      </s:c>
    </s:row>
    <s:row r="960">
      <s:c r="A960" t="s">
        <s:v>1873</s:v>
      </s:c>
      <s:c r="B960" t="s">
        <s:v>1948</s:v>
      </s:c>
      <s:c r="C960" t="s">
        <s:v>1949</s:v>
      </s:c>
      <s:c r="D960">
        <s:v>3.8</s:v>
      </s:c>
      <s:c r="E960">
        <s:f>D960*3.5*70/200</s:f>
        <s:v>4.6549999999999994</s:v>
      </s:c>
    </s:row>
    <s:row r="961">
      <s:c r="A961" t="s">
        <s:v>1873</s:v>
      </s:c>
      <s:c r="B961" t="s">
        <s:v>1950</s:v>
      </s:c>
      <s:c r="C961" t="s">
        <s:v>1951</s:v>
      </s:c>
      <s:c r="D961">
        <s:v>5</s:v>
      </s:c>
      <s:c r="E961">
        <s:f>D961*3.5*70/200</s:f>
        <s:v>6.125</s:v>
      </s:c>
    </s:row>
    <s:row r="962">
      <s:c r="A962" t="s">
        <s:v>1873</s:v>
      </s:c>
      <s:c r="B962" t="s">
        <s:v>1952</s:v>
      </s:c>
      <s:c r="C962" t="s">
        <s:v>1953</s:v>
      </s:c>
      <s:c r="D962">
        <s:v>9.8000000000000007</s:v>
      </s:c>
      <s:c r="E962">
        <s:f>D962*3.5*70/200</s:f>
        <s:v>12.005000000000003</s:v>
      </s:c>
    </s:row>
    <s:row r="963">
      <s:c r="A963" t="s">
        <s:v>1873</s:v>
      </s:c>
      <s:c r="B963" t="s">
        <s:v>1954</s:v>
      </s:c>
      <s:c r="C963" t="s">
        <s:v>1955</s:v>
      </s:c>
      <s:c r="D963">
        <s:v>11</s:v>
      </s:c>
      <s:c r="E963">
        <s:f>D963*3.5*70/200</s:f>
        <s:v>13.475</s:v>
      </s:c>
    </s:row>
    <s:row r="964">
      <s:c r="A964" t="s">
        <s:v>1873</s:v>
      </s:c>
      <s:c r="B964" t="s">
        <s:v>1956</s:v>
      </s:c>
      <s:c r="C964" t="s">
        <s:v>1957</s:v>
      </s:c>
      <s:c r="D964">
        <s:v>9.8000000000000007</s:v>
      </s:c>
      <s:c r="E964">
        <s:f>D964*3.5*70/200</s:f>
        <s:v>12.005000000000003</s:v>
      </s:c>
    </s:row>
    <s:row r="965">
      <s:c r="A965" t="s">
        <s:v>1873</s:v>
      </s:c>
      <s:c r="B965" t="s">
        <s:v>1958</s:v>
      </s:c>
      <s:c r="C965" t="s">
        <s:v>1959</s:v>
      </s:c>
      <s:c r="D965">
        <s:v>5.8</s:v>
      </s:c>
      <s:c r="E965">
        <s:f>D965*3.5*70/200</s:f>
        <s:v>7.1050000000000004</s:v>
      </s:c>
    </s:row>
    <s:row r="966">
      <s:c r="A966" t="s">
        <s:v>1873</s:v>
      </s:c>
      <s:c r="B966" t="s">
        <s:v>1960</s:v>
      </s:c>
      <s:c r="C966" t="s">
        <s:v>1961</s:v>
      </s:c>
      <s:c r="D966">
        <s:v>9.5</s:v>
      </s:c>
      <s:c r="E966">
        <s:f>D966*3.5*70/200</s:f>
        <s:v>11.637499999999999</s:v>
      </s:c>
    </s:row>
    <s:row r="967">
      <s:c r="A967" t="s">
        <s:v>1873</s:v>
      </s:c>
      <s:c r="B967" t="s">
        <s:v>1962</s:v>
      </s:c>
      <s:c r="C967" t="s">
        <s:v>1963</s:v>
      </s:c>
      <s:c r="D967">
        <s:v>4.8</s:v>
      </s:c>
      <s:c r="E967">
        <s:f>D967*3.5*70/200</s:f>
        <s:v>5.88</s:v>
      </s:c>
    </s:row>
    <s:row r="968">
      <s:c r="A968" t="s">
        <s:v>1873</s:v>
      </s:c>
      <s:c r="B968" t="s">
        <s:v>1964</s:v>
      </s:c>
      <s:c r="C968" t="s">
        <s:v>1965</s:v>
      </s:c>
      <s:c r="D968">
        <s:v>10.3</s:v>
      </s:c>
      <s:c r="E968">
        <s:f>D968*3.5*70/200</s:f>
        <s:v>12.617500000000001</s:v>
      </s:c>
    </s:row>
    <s:row r="969">
      <s:c r="A969" t="s">
        <s:v>1873</s:v>
      </s:c>
      <s:c r="B969" t="s">
        <s:v>1966</s:v>
      </s:c>
      <s:c r="C969" t="s">
        <s:v>1967</s:v>
      </s:c>
      <s:c r="D969">
        <s:v>5.3</s:v>
      </s:c>
      <s:c r="E969">
        <s:f>D969*3.5*70/200</s:f>
        <s:v>6.4924999999999997</s:v>
      </s:c>
    </s:row>
    <s:row r="970">
      <s:c r="A970" t="s">
        <s:v>1873</s:v>
      </s:c>
      <s:c r="B970" t="s">
        <s:v>1968</s:v>
      </s:c>
      <s:c r="C970" t="s">
        <s:v>1969</s:v>
      </s:c>
      <s:c r="D970">
        <s:v>13.8</s:v>
      </s:c>
      <s:c r="E970">
        <s:f>D970*3.5*70/200</s:f>
        <s:v>16.905000000000001</s:v>
      </s:c>
    </s:row>
    <s:row r="971">
      <s:c r="A971" t="s">
        <s:v>1873</s:v>
      </s:c>
      <s:c r="B971" t="s">
        <s:v>1970</s:v>
      </s:c>
      <s:c r="C971" t="s">
        <s:v>1971</s:v>
      </s:c>
      <s:c r="D971">
        <s:v>10.5</s:v>
      </s:c>
      <s:c r="E971">
        <s:f>D971*3.5*70/200</s:f>
        <s:v>12.862500000000001</s:v>
      </s:c>
    </s:row>
    <s:row r="972">
      <s:c r="A972" t="s">
        <s:v>1873</s:v>
      </s:c>
      <s:c r="B972" t="s">
        <s:v>1972</s:v>
      </s:c>
      <s:c r="C972" t="s">
        <s:v>1973</s:v>
      </s:c>
      <s:c r="D972">
        <s:v>10.5</s:v>
      </s:c>
      <s:c r="E972">
        <s:f>D972*3.5*70/200</s:f>
        <s:v>12.862500000000001</s:v>
      </s:c>
    </s:row>
    <s:row r="973">
      <s:c r="A973" t="s">
        <s:v>1873</s:v>
      </s:c>
      <s:c r="B973" t="s">
        <s:v>1974</s:v>
      </s:c>
      <s:c r="C973" t="s">
        <s:v>1975</s:v>
      </s:c>
      <s:c r="D973">
        <s:v>8</s:v>
      </s:c>
      <s:c r="E973">
        <s:f>D973*3.5*70/200</s:f>
        <s:v>9.8000000000000007</s:v>
      </s:c>
    </s:row>
    <s:row r="974">
      <s:c r="A974" t="s">
        <s:v>1873</s:v>
      </s:c>
      <s:c r="B974" t="s">
        <s:v>1976</s:v>
      </s:c>
      <s:c r="C974" t="s">
        <s:v>1977</s:v>
      </s:c>
      <s:c r="D974">
        <s:v>5.8</s:v>
      </s:c>
      <s:c r="E974">
        <s:f>D974*3.5*70/200</s:f>
        <s:v>7.1050000000000004</s:v>
      </s:c>
    </s:row>
    <s:row r="975">
      <s:c r="A975" t="s">
        <s:v>1873</s:v>
      </s:c>
      <s:c r="B975" t="s">
        <s:v>1978</s:v>
      </s:c>
      <s:c r="C975" t="s">
        <s:v>1979</s:v>
      </s:c>
      <s:c r="D975">
        <s:v>14.5</s:v>
      </s:c>
      <s:c r="E975">
        <s:f>D975*3.5*70/200</s:f>
        <s:v>17.762499999999999</s:v>
      </s:c>
    </s:row>
    <s:row r="976">
      <s:c r="A976" t="s">
        <s:v>1873</s:v>
      </s:c>
      <s:c r="B976" t="s">
        <s:v>1980</s:v>
      </s:c>
      <s:c r="C976" t="s">
        <s:v>1981</s:v>
      </s:c>
      <s:c r="D976">
        <s:v>6</s:v>
      </s:c>
      <s:c r="E976">
        <s:f>D976*3.5*70/200</s:f>
        <s:v>7.35</s:v>
      </s:c>
    </s:row>
    <s:row r="977">
      <s:c r="A977" t="s">
        <s:v>1873</s:v>
      </s:c>
      <s:c r="B977" t="s">
        <s:v>1982</s:v>
      </s:c>
      <s:c r="C977" t="s">
        <s:v>1983</s:v>
      </s:c>
      <s:c r="D977">
        <s:v>6</s:v>
      </s:c>
      <s:c r="E977">
        <s:f>D977*3.5*70/200</s:f>
        <s:v>7.35</s:v>
      </s:c>
    </s:row>
    <s:row r="978">
      <s:c r="A978" t="s">
        <s:v>1873</s:v>
      </s:c>
      <s:c r="B978" t="s">
        <s:v>1984</s:v>
      </s:c>
      <s:c r="C978" t="s">
        <s:v>1985</s:v>
      </s:c>
      <s:c r="D978">
        <s:v>7</s:v>
      </s:c>
      <s:c r="E978">
        <s:f>D978*3.5*70/200</s:f>
        <s:v>8.5749999999999993</s:v>
      </s:c>
    </s:row>
    <s:row r="979">
      <s:c r="A979" t="s">
        <s:v>1873</s:v>
      </s:c>
      <s:c r="B979" t="s">
        <s:v>1986</s:v>
      </s:c>
      <s:c r="C979" t="s">
        <s:v>1987</s:v>
      </s:c>
      <s:c r="D979">
        <s:v>8</s:v>
      </s:c>
      <s:c r="E979">
        <s:f>D979*3.5*70/200</s:f>
        <s:v>9.8000000000000007</s:v>
      </s:c>
    </s:row>
    <s:row r="980">
      <s:c r="A980" t="s">
        <s:v>1873</s:v>
      </s:c>
      <s:c r="B980" t="s">
        <s:v>1988</s:v>
      </s:c>
      <s:c r="C980" t="s">
        <s:v>1989</s:v>
      </s:c>
      <s:c r="D980">
        <s:v>9.8000000000000007</s:v>
      </s:c>
      <s:c r="E980">
        <s:f>D980*3.5*70/200</s:f>
        <s:v>12.005000000000003</s:v>
      </s:c>
    </s:row>
    <s:row r="981">
      <s:c r="A981" t="s">
        <s:v>1873</s:v>
      </s:c>
      <s:c r="B981" t="s">
        <s:v>1990</s:v>
      </s:c>
      <s:c r="C981" t="s">
        <s:v>1991</s:v>
      </s:c>
      <s:c r="D981">
        <s:v>3.5</s:v>
      </s:c>
      <s:c r="E981">
        <s:f>D981*3.5*70/200</s:f>
        <s:v>4.2874999999999996</s:v>
      </s:c>
    </s:row>
    <s:row r="982">
      <s:c r="A982" t="s">
        <s:v>1873</s:v>
      </s:c>
      <s:c r="B982" t="s">
        <s:v>1992</s:v>
      </s:c>
      <s:c r="C982" t="s">
        <s:v>1993</s:v>
      </s:c>
      <s:c r="D982">
        <s:v>2.2999999999999998</s:v>
      </s:c>
      <s:c r="E982">
        <s:f>D982*3.5*70/200</s:f>
        <s:v>2.8174999999999994</s:v>
      </s:c>
    </s:row>
    <s:row r="983">
      <s:c r="A983" t="s">
        <s:v>1873</s:v>
      </s:c>
      <s:c r="B983" t="s">
        <s:v>1994</s:v>
      </s:c>
      <s:c r="C983" t="s">
        <s:v>1995</s:v>
      </s:c>
      <s:c r="D983">
        <s:v>5.5</s:v>
      </s:c>
      <s:c r="E983">
        <s:f>D983*3.5*70/200</s:f>
        <s:v>6.7374999999999998</s:v>
      </s:c>
    </s:row>
    <s:row r="984">
      <s:c r="A984" t="s">
        <s:v>1873</s:v>
      </s:c>
      <s:c r="B984" t="s">
        <s:v>1996</s:v>
      </s:c>
      <s:c r="C984" t="s">
        <s:v>1997</s:v>
      </s:c>
      <s:c r="D984">
        <s:v>3.8</s:v>
      </s:c>
      <s:c r="E984">
        <s:f>D984*3.5*70/200</s:f>
        <s:v>4.6549999999999994</s:v>
      </s:c>
    </s:row>
    <s:row r="985">
      <s:c r="A985" t="s">
        <s:v>1873</s:v>
      </s:c>
      <s:c r="B985" t="s">
        <s:v>1998</s:v>
      </s:c>
      <s:c r="C985" t="s">
        <s:v>1999</s:v>
      </s:c>
      <s:c r="D985">
        <s:v>7.5</s:v>
      </s:c>
      <s:c r="E985">
        <s:f>D985*3.5*70/200</s:f>
        <s:v>9.1875</s:v>
      </s:c>
    </s:row>
    <s:row r="986">
      <s:c r="A986" t="s">
        <s:v>1873</s:v>
      </s:c>
      <s:c r="B986" t="s">
        <s:v>2000</s:v>
      </s:c>
      <s:c r="C986" t="s">
        <s:v>2001</s:v>
      </s:c>
      <s:c r="D986">
        <s:v>10</s:v>
      </s:c>
      <s:c r="E986">
        <s:f>D986*3.5*70/200</s:f>
        <s:v>12.25</s:v>
      </s:c>
    </s:row>
    <s:row r="987">
      <s:c r="A987" t="s">
        <s:v>1873</s:v>
      </s:c>
      <s:c r="B987" t="s">
        <s:v>2002</s:v>
      </s:c>
      <s:c r="C987" t="s">
        <s:v>2003</s:v>
      </s:c>
      <s:c r="D987">
        <s:v>3</s:v>
      </s:c>
      <s:c r="E987">
        <s:f>D987*3.5*70/200</s:f>
        <s:v>3.6749999999999998</s:v>
      </s:c>
    </s:row>
    <s:row r="988">
      <s:c r="A988" t="s">
        <s:v>1873</s:v>
      </s:c>
      <s:c r="B988" t="s">
        <s:v>2004</s:v>
      </s:c>
      <s:c r="C988" t="s">
        <s:v>2005</s:v>
      </s:c>
      <s:c r="D988">
        <s:v>9.8000000000000007</s:v>
      </s:c>
      <s:c r="E988">
        <s:f>D988*3.5*70/200</s:f>
        <s:v>12.005000000000003</s:v>
      </s:c>
    </s:row>
    <s:row r="989">
      <s:c r="A989" t="s">
        <s:v>1873</s:v>
      </s:c>
      <s:c r="B989" t="s">
        <s:v>2006</s:v>
      </s:c>
      <s:c r="C989" t="s">
        <s:v>2007</s:v>
      </s:c>
      <s:c r="D989">
        <s:v>2.5</s:v>
      </s:c>
      <s:c r="E989">
        <s:f>D989*3.5*70/200</s:f>
        <s:v>3.0625</s:v>
      </s:c>
    </s:row>
    <s:row r="990">
      <s:c r="A990" t="s">
        <s:v>1873</s:v>
      </s:c>
      <s:c r="B990" t="s">
        <s:v>2008</s:v>
      </s:c>
      <s:c r="C990" t="s">
        <s:v>2009</s:v>
      </s:c>
      <s:c r="D990">
        <s:v>4.8</s:v>
      </s:c>
      <s:c r="E990">
        <s:f>D990*3.5*70/200</s:f>
        <s:v>5.88</s:v>
      </s:c>
    </s:row>
    <s:row r="991">
      <s:c r="A991" t="s">
        <s:v>1873</s:v>
      </s:c>
      <s:c r="B991" t="s">
        <s:v>2010</s:v>
      </s:c>
      <s:c r="C991" t="s">
        <s:v>2011</s:v>
      </s:c>
      <s:c r="D991">
        <s:v>6.8</s:v>
      </s:c>
      <s:c r="E991">
        <s:f>D991*3.5*70/200</s:f>
        <s:v>8.33</s:v>
      </s:c>
    </s:row>
    <s:row r="992">
      <s:c r="A992" t="s">
        <s:v>1873</s:v>
      </s:c>
      <s:c r="B992" t="s">
        <s:v>2012</s:v>
      </s:c>
      <s:c r="C992" t="s">
        <s:v>2013</s:v>
      </s:c>
      <s:c r="D992">
        <s:v>5</s:v>
      </s:c>
      <s:c r="E992">
        <s:f>D992*3.5*70/200</s:f>
        <s:v>6.125</s:v>
      </s:c>
    </s:row>
    <s:row r="993">
      <s:c r="A993" t="s">
        <s:v>1873</s:v>
      </s:c>
      <s:c r="B993" t="s">
        <s:v>2014</s:v>
      </s:c>
      <s:c r="C993" t="s">
        <s:v>2015</s:v>
      </s:c>
      <s:c r="D993">
        <s:v>6.5</s:v>
      </s:c>
      <s:c r="E993">
        <s:f>D993*3.5*70/200</s:f>
        <s:v>7.9625000000000004</s:v>
      </s:c>
    </s:row>
    <s:row r="994">
      <s:c r="A994" t="s">
        <s:v>1873</s:v>
      </s:c>
      <s:c r="B994" t="s">
        <s:v>2016</s:v>
      </s:c>
      <s:c r="C994" t="s">
        <s:v>2017</s:v>
      </s:c>
      <s:c r="D994">
        <s:v>7.5</s:v>
      </s:c>
      <s:c r="E994">
        <s:f>D994*3.5*70/200</s:f>
        <s:v>9.1875</s:v>
      </s:c>
    </s:row>
    <s:row r="995">
      <s:c r="A995" t="s">
        <s:v>1873</s:v>
      </s:c>
      <s:c r="B995" t="s">
        <s:v>2018</s:v>
      </s:c>
      <s:c r="C995" t="s">
        <s:v>2019</s:v>
      </s:c>
      <s:c r="D995">
        <s:v>8.5</s:v>
      </s:c>
      <s:c r="E995">
        <s:f>D995*3.5*70/200</s:f>
        <s:v>10.4125</s:v>
      </s:c>
    </s:row>
    <s:row r="996">
      <s:c r="A996" t="s">
        <s:v>1873</s:v>
      </s:c>
      <s:c r="B996" t="s">
        <s:v>2020</s:v>
      </s:c>
      <s:c r="C996" t="s">
        <s:v>2021</s:v>
      </s:c>
      <s:c r="D996">
        <s:v>9.8000000000000007</s:v>
      </s:c>
      <s:c r="E996">
        <s:f>D996*3.5*70/200</s:f>
        <s:v>12.005000000000003</s:v>
      </s:c>
    </s:row>
    <s:row r="997">
      <s:c r="A997" t="s">
        <s:v>1873</s:v>
      </s:c>
      <s:c r="B997" t="s">
        <s:v>2022</s:v>
      </s:c>
      <s:c r="C997" t="s">
        <s:v>2023</s:v>
      </s:c>
      <s:c r="D997">
        <s:v>5</s:v>
      </s:c>
      <s:c r="E997">
        <s:f>D997*3.5*70/200</s:f>
        <s:v>6.125</s:v>
      </s:c>
    </s:row>
    <s:row r="998">
      <s:c r="A998" t="s">
        <s:v>1873</s:v>
      </s:c>
      <s:c r="B998" t="s">
        <s:v>2024</s:v>
      </s:c>
      <s:c r="C998" t="s">
        <s:v>2025</s:v>
      </s:c>
      <s:c r="D998">
        <s:v>11</s:v>
      </s:c>
      <s:c r="E998">
        <s:f>D998*3.5*70/200</s:f>
        <s:v>13.475</s:v>
      </s:c>
    </s:row>
    <s:row r="999">
      <s:c r="A999" t="s">
        <s:v>1873</s:v>
      </s:c>
      <s:c r="B999" t="s">
        <s:v>2026</s:v>
      </s:c>
      <s:c r="C999" t="s">
        <s:v>2027</s:v>
      </s:c>
      <s:c r="D999">
        <s:v>14</s:v>
      </s:c>
      <s:c r="E999">
        <s:f>D999*3.5*70/200</s:f>
        <s:v>17.149999999999999</s:v>
      </s:c>
    </s:row>
    <s:row r="1000">
      <s:c r="A1000" t="s">
        <s:v>1873</s:v>
      </s:c>
      <s:c r="B1000" t="s">
        <s:v>2028</s:v>
      </s:c>
      <s:c r="C1000" t="s">
        <s:v>2029</s:v>
      </s:c>
      <s:c r="D1000">
        <s:v>2.8</s:v>
      </s:c>
      <s:c r="E1000">
        <s:f>D1000*3.5*70/200</s:f>
        <s:v>3.4299999999999993</s:v>
      </s:c>
    </s:row>
    <s:row r="1001">
      <s:c r="A1001" t="s">
        <s:v>1873</s:v>
      </s:c>
      <s:c r="B1001" t="s">
        <s:v>2030</s:v>
      </s:c>
      <s:c r="C1001" t="s">
        <s:v>2031</s:v>
      </s:c>
      <s:c r="D1001">
        <s:v>4.8</s:v>
      </s:c>
      <s:c r="E1001">
        <s:f>D1001*3.5*70/200</s:f>
        <s:v>5.88</s:v>
      </s:c>
    </s:row>
    <s:row r="1002">
      <s:c r="A1002" t="s">
        <s:v>1873</s:v>
      </s:c>
      <s:c r="B1002" t="s">
        <s:v>2032</s:v>
      </s:c>
      <s:c r="C1002" t="s">
        <s:v>2033</s:v>
      </s:c>
      <s:c r="D1002">
        <s:v>3.8</s:v>
      </s:c>
      <s:c r="E1002">
        <s:f>D1002*3.5*70/200</s:f>
        <s:v>4.6549999999999994</s:v>
      </s:c>
    </s:row>
    <s:row r="1003">
      <s:c r="A1003" t="s">
        <s:v>1873</s:v>
      </s:c>
      <s:c r="B1003" t="s">
        <s:v>2034</s:v>
      </s:c>
      <s:c r="C1003" t="s">
        <s:v>2035</s:v>
      </s:c>
      <s:c r="D1003">
        <s:v>6</s:v>
      </s:c>
      <s:c r="E1003">
        <s:f>D1003*3.5*70/200</s:f>
        <s:v>7.35</s:v>
      </s:c>
    </s:row>
    <s:row r="1004">
      <s:c r="A1004" t="s">
        <s:v>1873</s:v>
      </s:c>
      <s:c r="B1004" t="s">
        <s:v>2036</s:v>
      </s:c>
      <s:c r="C1004" t="s">
        <s:v>2037</s:v>
      </s:c>
      <s:c r="D1004">
        <s:v>5</s:v>
      </s:c>
      <s:c r="E1004">
        <s:f>D1004*3.5*70/200</s:f>
        <s:v>6.125</s:v>
      </s:c>
    </s:row>
    <s:row r="1005">
      <s:c r="A1005" t="s">
        <s:v>1873</s:v>
      </s:c>
      <s:c r="B1005" t="s">
        <s:v>2038</s:v>
      </s:c>
      <s:c r="C1005" t="s">
        <s:v>2039</s:v>
      </s:c>
      <s:c r="D1005">
        <s:v>6.3</s:v>
      </s:c>
      <s:c r="E1005">
        <s:f>D1005*3.5*70/200</s:f>
        <s:v>7.7175000000000002</s:v>
      </s:c>
    </s:row>
    <s:row r="1006">
      <s:c r="A1006" t="s">
        <s:v>1873</s:v>
      </s:c>
      <s:c r="B1006" t="s">
        <s:v>2040</s:v>
      </s:c>
      <s:c r="C1006" t="s">
        <s:v>2041</s:v>
      </s:c>
      <s:c r="D1006">
        <s:v>6.3</s:v>
      </s:c>
      <s:c r="E1006">
        <s:f>D1006*3.5*70/200</s:f>
        <s:v>7.7175000000000002</s:v>
      </s:c>
    </s:row>
    <s:row r="1007">
      <s:c r="A1007" t="s">
        <s:v>1873</s:v>
      </s:c>
      <s:c r="B1007" t="s">
        <s:v>2042</s:v>
      </s:c>
      <s:c r="C1007" t="s">
        <s:v>2043</s:v>
      </s:c>
      <s:c r="D1007">
        <s:v>7.5</s:v>
      </s:c>
      <s:c r="E1007">
        <s:f>D1007*3.5*70/200</s:f>
        <s:v>9.1875</s:v>
      </s:c>
    </s:row>
    <s:row r="1008">
      <s:c r="A1008" t="s">
        <s:v>1873</s:v>
      </s:c>
      <s:c r="B1008" t="s">
        <s:v>2044</s:v>
      </s:c>
      <s:c r="C1008" t="s">
        <s:v>2045</s:v>
      </s:c>
      <s:c r="D1008">
        <s:v>8.5</s:v>
      </s:c>
      <s:c r="E1008">
        <s:f>D1008*3.5*70/200</s:f>
        <s:v>10.4125</s:v>
      </s:c>
    </s:row>
    <s:row r="1009">
      <s:c r="A1009" t="s">
        <s:v>1873</s:v>
      </s:c>
      <s:c r="B1009" t="s">
        <s:v>2046</s:v>
      </s:c>
      <s:c r="C1009" t="s">
        <s:v>2047</s:v>
      </s:c>
      <s:c r="D1009">
        <s:v>10.3</s:v>
      </s:c>
      <s:c r="E1009">
        <s:f>D1009*3.5*70/200</s:f>
        <s:v>12.617500000000001</s:v>
      </s:c>
    </s:row>
    <s:row r="1010">
      <s:c r="A1010" t="s">
        <s:v>2048</s:v>
      </s:c>
      <s:c r="B1010" t="s">
        <s:v>2049</s:v>
      </s:c>
      <s:c r="C1010" t="s">
        <s:v>2050</s:v>
      </s:c>
      <s:c r="D1010">
        <s:v>7.5</s:v>
      </s:c>
      <s:c r="E1010">
        <s:f>D1010*3.5*70/200</s:f>
        <s:v>9.1875</s:v>
      </s:c>
    </s:row>
    <s:row r="1011">
      <s:c r="A1011" t="s">
        <s:v>2048</s:v>
      </s:c>
      <s:c r="B1011" t="s">
        <s:v>2051</s:v>
      </s:c>
      <s:c r="C1011" t="s">
        <s:v>2052</s:v>
      </s:c>
      <s:c r="D1011">
        <s:v>2.5</s:v>
      </s:c>
      <s:c r="E1011">
        <s:f>D1011*3.5*70/200</s:f>
        <s:v>3.0625</s:v>
      </s:c>
    </s:row>
    <s:row r="1012">
      <s:c r="A1012" t="s">
        <s:v>2048</s:v>
      </s:c>
      <s:c r="B1012" t="s">
        <s:v>2053</s:v>
      </s:c>
      <s:c r="C1012" t="s">
        <s:v>2054</s:v>
      </s:c>
      <s:c r="D1012">
        <s:v>6</s:v>
      </s:c>
      <s:c r="E1012">
        <s:f>D1012*3.5*70/200</s:f>
        <s:v>7.35</s:v>
      </s:c>
    </s:row>
    <s:row r="1013">
      <s:c r="A1013" t="s">
        <s:v>2048</s:v>
      </s:c>
      <s:c r="B1013" t="s">
        <s:v>2055</s:v>
      </s:c>
      <s:c r="C1013" t="s">
        <s:v>2056</s:v>
      </s:c>
      <s:c r="D1013">
        <s:v>2</s:v>
      </s:c>
      <s:c r="E1013">
        <s:f>D1013*3.5*70/200</s:f>
        <s:v>2.4500000000000002</s:v>
      </s:c>
    </s:row>
    <s:row r="1014">
      <s:c r="A1014" t="s">
        <s:v>2048</s:v>
      </s:c>
      <s:c r="B1014" t="s">
        <s:v>2057</s:v>
      </s:c>
      <s:c r="C1014" t="s">
        <s:v>2058</s:v>
      </s:c>
      <s:c r="D1014">
        <s:v>14</s:v>
      </s:c>
      <s:c r="E1014">
        <s:f>D1014*3.5*70/200</s:f>
        <s:v>17.149999999999999</s:v>
      </s:c>
    </s:row>
    <s:row r="1015">
      <s:c r="A1015" t="s">
        <s:v>2048</s:v>
      </s:c>
      <s:c r="B1015" t="s">
        <s:v>2059</s:v>
      </s:c>
      <s:c r="C1015" t="s">
        <s:v>2060</s:v>
      </s:c>
      <s:c r="D1015">
        <s:v>5.5</s:v>
      </s:c>
      <s:c r="E1015">
        <s:f>D1015*3.5*70/200</s:f>
        <s:v>6.7374999999999998</s:v>
      </s:c>
    </s:row>
    <s:row r="1016">
      <s:c r="A1016" t="s">
        <s:v>2048</s:v>
      </s:c>
      <s:c r="B1016" t="s">
        <s:v>2061</s:v>
      </s:c>
      <s:c r="C1016" t="s">
        <s:v>2062</s:v>
      </s:c>
      <s:c r="D1016">
        <s:v>7</s:v>
      </s:c>
      <s:c r="E1016">
        <s:f>D1016*3.5*70/200</s:f>
        <s:v>8.5749999999999993</s:v>
      </s:c>
    </s:row>
    <s:row r="1017">
      <s:c r="A1017" t="s">
        <s:v>2048</s:v>
      </s:c>
      <s:c r="B1017" t="s">
        <s:v>2063</s:v>
      </s:c>
      <s:c r="C1017" t="s">
        <s:v>2064</s:v>
      </s:c>
      <s:c r="D1017">
        <s:v>9</s:v>
      </s:c>
      <s:c r="E1017">
        <s:f>D1017*3.5*70/200</s:f>
        <s:v>11.025</s:v>
      </s:c>
    </s:row>
    <s:row r="1018">
      <s:c r="A1018" t="s">
        <s:v>2048</s:v>
      </s:c>
      <s:c r="B1018" t="s">
        <s:v>2065</s:v>
      </s:c>
      <s:c r="C1018" t="s">
        <s:v>2066</s:v>
      </s:c>
      <s:c r="D1018">
        <s:v>9</s:v>
      </s:c>
      <s:c r="E1018">
        <s:f>D1018*3.5*70/200</s:f>
        <s:v>11.025</s:v>
      </s:c>
    </s:row>
    <s:row r="1019">
      <s:c r="A1019" t="s">
        <s:v>2048</s:v>
      </s:c>
      <s:c r="B1019" t="s">
        <s:v>2067</s:v>
      </s:c>
      <s:c r="C1019" t="s">
        <s:v>2068</s:v>
      </s:c>
      <s:c r="D1019">
        <s:v>10</s:v>
      </s:c>
      <s:c r="E1019">
        <s:f>D1019*3.5*70/200</s:f>
        <s:v>12.25</s:v>
      </s:c>
    </s:row>
    <s:row r="1020">
      <s:c r="A1020" t="s">
        <s:v>2048</s:v>
      </s:c>
      <s:c r="B1020" t="s">
        <s:v>2069</s:v>
      </s:c>
      <s:c r="C1020" t="s">
        <s:v>2070</s:v>
      </s:c>
      <s:c r="D1020">
        <s:v>10.5</s:v>
      </s:c>
      <s:c r="E1020">
        <s:f>D1020*3.5*70/200</s:f>
        <s:v>12.862500000000001</s:v>
      </s:c>
    </s:row>
    <s:row r="1021">
      <s:c r="A1021" t="s">
        <s:v>2048</s:v>
      </s:c>
      <s:c r="B1021" t="s">
        <s:v>2071</s:v>
      </s:c>
      <s:c r="C1021" t="s">
        <s:v>2072</s:v>
      </s:c>
      <s:c r="D1021">
        <s:v>11</s:v>
      </s:c>
      <s:c r="E1021">
        <s:f>D1021*3.5*70/200</s:f>
        <s:v>13.475</s:v>
      </s:c>
    </s:row>
    <s:row r="1022">
      <s:c r="A1022" t="s">
        <s:v>2048</s:v>
      </s:c>
      <s:c r="B1022" t="s">
        <s:v>2073</s:v>
      </s:c>
      <s:c r="C1022" t="s">
        <s:v>2074</s:v>
      </s:c>
      <s:c r="D1022">
        <s:v>13.8</s:v>
      </s:c>
      <s:c r="E1022">
        <s:f>D1022*3.5*70/200</s:f>
        <s:v>16.905000000000001</s:v>
      </s:c>
    </s:row>
    <s:row r="1023">
      <s:c r="A1023" t="s">
        <s:v>2048</s:v>
      </s:c>
      <s:c r="B1023" t="s">
        <s:v>2075</s:v>
      </s:c>
      <s:c r="C1023" t="s">
        <s:v>2076</s:v>
      </s:c>
      <s:c r="D1023">
        <s:v>7</s:v>
      </s:c>
      <s:c r="E1023">
        <s:f>D1023*3.5*70/200</s:f>
        <s:v>8.5749999999999993</s:v>
      </s:c>
    </s:row>
    <s:row r="1024">
      <s:c r="A1024" t="s">
        <s:v>2048</s:v>
      </s:c>
      <s:c r="B1024" t="s">
        <s:v>2077</s:v>
      </s:c>
      <s:c r="C1024" t="s">
        <s:v>2078</s:v>
      </s:c>
      <s:c r="D1024">
        <s:v>7</s:v>
      </s:c>
      <s:c r="E1024">
        <s:f>D1024*3.5*70/200</s:f>
        <s:v>8.5749999999999993</s:v>
      </s:c>
    </s:row>
    <s:row r="1025">
      <s:c r="A1025" t="s">
        <s:v>2048</s:v>
      </s:c>
      <s:c r="B1025" t="s">
        <s:v>2079</s:v>
      </s:c>
      <s:c r="C1025" t="s">
        <s:v>2080</s:v>
      </s:c>
      <s:c r="D1025">
        <s:v>6.8</s:v>
      </s:c>
      <s:c r="E1025">
        <s:f>D1025*3.5*70/200</s:f>
        <s:v>8.33</s:v>
      </s:c>
    </s:row>
    <s:row r="1026">
      <s:c r="A1026" t="s">
        <s:v>2048</s:v>
      </s:c>
      <s:c r="B1026" t="s">
        <s:v>2081</s:v>
      </s:c>
      <s:c r="C1026" t="s">
        <s:v>2082</s:v>
      </s:c>
      <s:c r="D1026">
        <s:v>8.5</s:v>
      </s:c>
      <s:c r="E1026">
        <s:f>D1026*3.5*70/200</s:f>
        <s:v>10.4125</s:v>
      </s:c>
    </s:row>
    <s:row r="1027">
      <s:c r="A1027" t="s">
        <s:v>2048</s:v>
      </s:c>
      <s:c r="B1027" t="s">
        <s:v>2083</s:v>
      </s:c>
      <s:c r="C1027" t="s">
        <s:v>2084</s:v>
      </s:c>
      <s:c r="D1027">
        <s:v>11.3</s:v>
      </s:c>
      <s:c r="E1027">
        <s:f>D1027*3.5*70/200</s:f>
        <s:v>13.842500000000003</s:v>
      </s:c>
    </s:row>
    <s:row r="1028">
      <s:c r="A1028" t="s">
        <s:v>2048</s:v>
      </s:c>
      <s:c r="B1028" t="s">
        <s:v>2085</s:v>
      </s:c>
      <s:c r="C1028" t="s">
        <s:v>2086</s:v>
      </s:c>
      <s:c r="D1028">
        <s:v>14</s:v>
      </s:c>
      <s:c r="E1028">
        <s:f>D1028*3.5*70/200</s:f>
        <s:v>17.149999999999999</s:v>
      </s:c>
    </s:row>
    <s:row r="1029">
      <s:c r="A1029" t="s">
        <s:v>2048</s:v>
      </s:c>
      <s:c r="B1029" t="s">
        <s:v>2087</s:v>
      </s:c>
      <s:c r="C1029" t="s">
        <s:v>2088</s:v>
      </s:c>
      <s:c r="D1029">
        <s:v>16</s:v>
      </s:c>
      <s:c r="E1029">
        <s:f>D1029*3.5*70/200</s:f>
        <s:v>19.600000000000001</s:v>
      </s:c>
    </s:row>
    <s:row r="1030">
      <s:c r="A1030" t="s">
        <s:v>2048</s:v>
      </s:c>
      <s:c r="B1030" t="s">
        <s:v>2089</s:v>
      </s:c>
      <s:c r="C1030" t="s">
        <s:v>2090</s:v>
      </s:c>
      <s:c r="D1030">
        <s:v>9.5</s:v>
      </s:c>
      <s:c r="E1030">
        <s:f>D1030*3.5*70/200</s:f>
        <s:v>11.637499999999999</s:v>
      </s:c>
    </s:row>
    <s:row r="1031">
      <s:c r="A1031" t="s">
        <s:v>2048</s:v>
      </s:c>
      <s:c r="B1031" t="s">
        <s:v>2091</s:v>
      </s:c>
      <s:c r="C1031" t="s">
        <s:v>2092</s:v>
      </s:c>
      <s:c r="D1031">
        <s:v>15.5</s:v>
      </s:c>
      <s:c r="E1031">
        <s:f>D1031*3.5*70/200</s:f>
        <s:v>18.987500000000001</s:v>
      </s:c>
    </s:row>
    <s:row r="1032">
      <s:c r="A1032" t="s">
        <s:v>2048</s:v>
      </s:c>
      <s:c r="B1032" t="s">
        <s:v>2093</s:v>
      </s:c>
      <s:c r="C1032" t="s">
        <s:v>2094</s:v>
      </s:c>
      <s:c r="D1032">
        <s:v>13.3</s:v>
      </s:c>
      <s:c r="E1032">
        <s:f>D1032*3.5*70/200</s:f>
        <s:v>16.292500000000004</s:v>
      </s:c>
    </s:row>
    <s:row r="1033">
      <s:c r="A1033" t="s">
        <s:v>2048</s:v>
      </s:c>
      <s:c r="B1033" t="s">
        <s:v>2095</s:v>
      </s:c>
      <s:c r="C1033" t="s">
        <s:v>2096</s:v>
      </s:c>
      <s:c r="D1033">
        <s:v>13.5</s:v>
      </s:c>
      <s:c r="E1033">
        <s:f>D1033*3.5*70/200</s:f>
        <s:v>16.537500000000001</s:v>
      </s:c>
    </s:row>
    <s:row r="1034">
      <s:c r="A1034" t="s">
        <s:v>2048</s:v>
      </s:c>
      <s:c r="B1034" t="s">
        <s:v>2097</s:v>
      </s:c>
      <s:c r="C1034" t="s">
        <s:v>2098</s:v>
      </s:c>
      <s:c r="D1034">
        <s:v>12.8</s:v>
      </s:c>
      <s:c r="E1034">
        <s:f>D1034*3.5*70/200</s:f>
        <s:v>15.680000000000001</s:v>
      </s:c>
    </s:row>
    <s:row r="1035">
      <s:c r="A1035" t="s">
        <s:v>2048</s:v>
      </s:c>
      <s:c r="B1035" t="s">
        <s:v>2099</s:v>
      </s:c>
      <s:c r="C1035" t="s">
        <s:v>2100</s:v>
      </s:c>
      <s:c r="D1035">
        <s:v>12.8</s:v>
      </s:c>
      <s:c r="E1035">
        <s:f>D1035*3.5*70/200</s:f>
        <s:v>15.680000000000001</s:v>
      </s:c>
    </s:row>
    <s:row r="1036">
      <s:c r="A1036" t="s">
        <s:v>2048</s:v>
      </s:c>
      <s:c r="B1036" t="s">
        <s:v>2101</s:v>
      </s:c>
      <s:c r="C1036" t="s">
        <s:v>2102</s:v>
      </s:c>
      <s:c r="D1036">
        <s:v>9.3000000000000007</s:v>
      </s:c>
      <s:c r="E1036">
        <s:f>D1036*3.5*70/200</s:f>
        <s:v>11.392500000000002</s:v>
      </s:c>
    </s:row>
    <s:row r="1037">
      <s:c r="A1037" t="s">
        <s:v>2048</s:v>
      </s:c>
      <s:c r="B1037" t="s">
        <s:v>2103</s:v>
      </s:c>
      <s:c r="C1037" t="s">
        <s:v>2104</s:v>
      </s:c>
      <s:c r="D1037">
        <s:v>4.3</s:v>
      </s:c>
      <s:c r="E1037">
        <s:f>D1037*3.5*70/200</s:f>
        <s:v>5.2675000000000001</s:v>
      </s:c>
    </s:row>
    <s:row r="1038">
      <s:c r="A1038" t="s">
        <s:v>2048</s:v>
      </s:c>
      <s:c r="B1038" t="s">
        <s:v>2105</s:v>
      </s:c>
      <s:c r="C1038" t="s">
        <s:v>2106</s:v>
      </s:c>
      <s:c r="D1038">
        <s:v>6.3</s:v>
      </s:c>
      <s:c r="E1038">
        <s:f>D1038*3.5*70/200</s:f>
        <s:v>7.7175000000000002</s:v>
      </s:c>
    </s:row>
    <s:row r="1039">
      <s:c r="A1039" t="s">
        <s:v>2048</s:v>
      </s:c>
      <s:c r="B1039" t="s">
        <s:v>2107</s:v>
      </s:c>
      <s:c r="C1039" t="s">
        <s:v>2108</s:v>
      </s:c>
      <s:c r="D1039">
        <s:v>8</s:v>
      </s:c>
      <s:c r="E1039">
        <s:f>D1039*3.5*70/200</s:f>
        <s:v>9.8000000000000007</s:v>
      </s:c>
    </s:row>
    <s:row r="1040">
      <s:c r="A1040" t="s">
        <s:v>2048</s:v>
      </s:c>
      <s:c r="B1040" t="s">
        <s:v>2109</s:v>
      </s:c>
      <s:c r="C1040" t="s">
        <s:v>2110</s:v>
      </s:c>
      <s:c r="D1040">
        <s:v>7.3</s:v>
      </s:c>
      <s:c r="E1040">
        <s:f>D1040*3.5*70/200</s:f>
        <s:v>8.9425000000000008</s:v>
      </s:c>
    </s:row>
    <s:row r="1041">
      <s:c r="A1041" t="s">
        <s:v>2048</s:v>
      </s:c>
      <s:c r="B1041" t="s">
        <s:v>2111</s:v>
      </s:c>
      <s:c r="C1041" t="s">
        <s:v>2112</s:v>
      </s:c>
      <s:c r="D1041">
        <s:v>7</s:v>
      </s:c>
      <s:c r="E1041">
        <s:f>D1041*3.5*70/200</s:f>
        <s:v>8.5749999999999993</s:v>
      </s:c>
    </s:row>
    <s:row r="1042">
      <s:c r="A1042" t="s">
        <s:v>2048</s:v>
      </s:c>
      <s:c r="B1042" t="s">
        <s:v>2113</s:v>
      </s:c>
      <s:c r="C1042" t="s">
        <s:v>2114</s:v>
      </s:c>
      <s:c r="D1042">
        <s:v>5.3</s:v>
      </s:c>
      <s:c r="E1042">
        <s:f>D1042*3.5*70/200</s:f>
        <s:v>6.4924999999999997</s:v>
      </s:c>
    </s:row>
    <s:row r="1043">
      <s:c r="A1043" t="s">
        <s:v>2048</s:v>
      </s:c>
      <s:c r="B1043" t="s">
        <s:v>2115</s:v>
      </s:c>
      <s:c r="C1043" t="s">
        <s:v>2116</s:v>
      </s:c>
      <s:c r="D1043">
        <s:v>10</s:v>
      </s:c>
      <s:c r="E1043">
        <s:f>D1043*3.5*70/200</s:f>
        <s:v>12.25</s:v>
      </s:c>
    </s:row>
    <s:row r="1044">
      <s:c r="A1044" t="s">
        <s:v>2048</s:v>
      </s:c>
      <s:c r="B1044" t="s">
        <s:v>2117</s:v>
      </s:c>
      <s:c r="C1044" t="s">
        <s:v>2118</s:v>
      </s:c>
      <s:c r="D1044">
        <s:v>3.8</s:v>
      </s:c>
      <s:c r="E1044">
        <s:f>D1044*3.5*70/200</s:f>
        <s:v>4.6549999999999994</s:v>
      </s:c>
    </s:row>
    <s:row r="1045">
      <s:c r="A1045" t="s">
        <s:v>2048</s:v>
      </s:c>
      <s:c r="B1045" t="s">
        <s:v>2119</s:v>
      </s:c>
      <s:c r="C1045" t="s">
        <s:v>2120</s:v>
      </s:c>
      <s:c r="D1045">
        <s:v>7.5</s:v>
      </s:c>
      <s:c r="E1045">
        <s:f>D1045*3.5*70/200</s:f>
        <s:v>9.1875</s:v>
      </s:c>
    </s:row>
    <s:row r="1046">
      <s:c r="A1046" t="s">
        <s:v>2048</s:v>
      </s:c>
      <s:c r="B1046" t="s">
        <s:v>2121</s:v>
      </s:c>
      <s:c r="C1046" t="s">
        <s:v>2122</s:v>
      </s:c>
      <s:c r="D1046">
        <s:v>2</s:v>
      </s:c>
      <s:c r="E1046">
        <s:f>D1046*3.5*70/200</s:f>
        <s:v>2.4500000000000002</s:v>
      </s:c>
    </s:row>
    <s:row r="1047">
      <s:c r="A1047" t="s">
        <s:v>2048</s:v>
      </s:c>
      <s:c r="B1047" t="s">
        <s:v>2123</s:v>
      </s:c>
      <s:c r="C1047" t="s">
        <s:v>2124</s:v>
      </s:c>
      <s:c r="D1047">
        <s:v>5.3</s:v>
      </s:c>
      <s:c r="E1047">
        <s:f>D1047*3.5*70/200</s:f>
        <s:v>6.4924999999999997</s:v>
      </s:c>
    </s:row>
    <s:row r="1048">
      <s:c r="A1048" t="s">
        <s:v>2048</s:v>
      </s:c>
      <s:c r="B1048" t="s">
        <s:v>2125</s:v>
      </s:c>
      <s:c r="C1048" t="s">
        <s:v>2126</s:v>
      </s:c>
      <s:c r="D1048">
        <s:v>7.5</s:v>
      </s:c>
      <s:c r="E1048">
        <s:f>D1048*3.5*70/200</s:f>
        <s:v>9.1875</s:v>
      </s:c>
    </s:row>
    <s:row r="1049">
      <s:c r="A1049" t="s">
        <s:v>2048</s:v>
      </s:c>
      <s:c r="B1049" t="s">
        <s:v>2127</s:v>
      </s:c>
      <s:c r="C1049" t="s">
        <s:v>2128</s:v>
      </s:c>
      <s:c r="D1049">
        <s:v>2.5</s:v>
      </s:c>
      <s:c r="E1049">
        <s:f>D1049*3.5*70/200</s:f>
        <s:v>3.0625</s:v>
      </s:c>
    </s:row>
    <s:row r="1050">
      <s:c r="A1050" t="s">
        <s:v>2048</s:v>
      </s:c>
      <s:c r="B1050" t="s">
        <s:v>2129</s:v>
      </s:c>
      <s:c r="C1050" t="s">
        <s:v>2130</s:v>
      </s:c>
      <s:c r="D1050">
        <s:v>12.5</s:v>
      </s:c>
      <s:c r="E1050">
        <s:f>D1050*3.5*70/200</s:f>
        <s:v>15.3125</s:v>
      </s:c>
    </s:row>
    <s:row r="1051">
      <s:c r="A1051" t="s">
        <s:v>2048</s:v>
      </s:c>
      <s:c r="B1051" t="s">
        <s:v>2131</s:v>
      </s:c>
      <s:c r="C1051" t="s">
        <s:v>2132</s:v>
      </s:c>
      <s:c r="D1051">
        <s:v>5.5</s:v>
      </s:c>
      <s:c r="E1051">
        <s:f>D1051*3.5*70/200</s:f>
        <s:v>6.7374999999999998</s:v>
      </s:c>
    </s:row>
    <s:row r="1052">
      <s:c r="A1052" t="s">
        <s:v>2048</s:v>
      </s:c>
      <s:c r="B1052" t="s">
        <s:v>2133</s:v>
      </s:c>
      <s:c r="C1052" t="s">
        <s:v>2134</s:v>
      </s:c>
      <s:c r="D1052">
        <s:v>6.8</s:v>
      </s:c>
      <s:c r="E1052">
        <s:f>D1052*3.5*70/200</s:f>
        <s:v>8.33</s:v>
      </s:c>
    </s:row>
    <s:row r="1053">
      <s:c r="A1053" t="s">
        <s:v>2048</s:v>
      </s:c>
      <s:c r="B1053" t="s">
        <s:v>2135</s:v>
      </s:c>
      <s:c r="C1053" t="s">
        <s:v>2136</s:v>
      </s:c>
      <s:c r="D1053">
        <s:v>8.3000000000000007</s:v>
      </s:c>
      <s:c r="E1053">
        <s:f>D1053*3.5*70/200</s:f>
        <s:v>10.1675</s:v>
      </s:c>
    </s:row>
    <s:row r="1054">
      <s:c r="A1054" t="s">
        <s:v>2048</s:v>
      </s:c>
      <s:c r="B1054" t="s">
        <s:v>2137</s:v>
      </s:c>
      <s:c r="C1054" t="s">
        <s:v>2138</s:v>
      </s:c>
      <s:c r="D1054">
        <s:v>10.5</s:v>
      </s:c>
      <s:c r="E1054">
        <s:f>D1054*3.5*70/200</s:f>
        <s:v>12.862500000000001</s:v>
      </s:c>
    </s:row>
    <s:row r="1055">
      <s:c r="A1055" t="s">
        <s:v>2048</s:v>
      </s:c>
      <s:c r="B1055" t="s">
        <s:v>2139</s:v>
      </s:c>
      <s:c r="C1055" t="s">
        <s:v>2140</s:v>
      </s:c>
      <s:c r="D1055">
        <s:v>15</s:v>
      </s:c>
      <s:c r="E1055">
        <s:f>D1055*3.5*70/200</s:f>
        <s:v>18.375</s:v>
      </s:c>
    </s:row>
    <s:row r="1056">
      <s:c r="A1056" t="s">
        <s:v>2048</s:v>
      </s:c>
      <s:c r="B1056" t="s">
        <s:v>2141</s:v>
      </s:c>
      <s:c r="C1056" t="s">
        <s:v>2142</s:v>
      </s:c>
      <s:c r="D1056">
        <s:v>12.5</s:v>
      </s:c>
      <s:c r="E1056">
        <s:f>D1056*3.5*70/200</s:f>
        <s:v>15.3125</s:v>
      </s:c>
    </s:row>
    <s:row r="1057">
      <s:c r="A1057" t="s">
        <s:v>2048</s:v>
      </s:c>
      <s:c r="B1057" t="s">
        <s:v>2143</s:v>
      </s:c>
      <s:c r="C1057" t="s">
        <s:v>2144</s:v>
      </s:c>
      <s:c r="D1057">
        <s:v>14.3</s:v>
      </s:c>
      <s:c r="E1057">
        <s:f>D1057*3.5*70/200</s:f>
        <s:v>17.517500000000002</s:v>
      </s:c>
    </s:row>
    <s:row r="1058">
      <s:c r="A1058" t="s">
        <s:v>2048</s:v>
      </s:c>
      <s:c r="B1058" t="s">
        <s:v>2145</s:v>
      </s:c>
      <s:c r="C1058" t="s">
        <s:v>2146</s:v>
      </s:c>
      <s:c r="D1058">
        <s:v>12.3</s:v>
      </s:c>
      <s:c r="E1058">
        <s:f>D1058*3.5*70/200</s:f>
        <s:v>15.067500000000003</s:v>
      </s:c>
    </s:row>
    <s:row r="1059">
      <s:c r="A1059" t="s">
        <s:v>2048</s:v>
      </s:c>
      <s:c r="B1059" t="s">
        <s:v>2147</s:v>
      </s:c>
      <s:c r="C1059" t="s">
        <s:v>2148</s:v>
      </s:c>
      <s:c r="D1059">
        <s:v>16</s:v>
      </s:c>
      <s:c r="E1059">
        <s:f>D1059*3.5*70/200</s:f>
        <s:v>19.600000000000001</s:v>
      </s:c>
    </s:row>
    <s:row r="1060">
      <s:c r="A1060" t="s">
        <s:v>2048</s:v>
      </s:c>
      <s:c r="B1060" t="s">
        <s:v>2149</s:v>
      </s:c>
      <s:c r="C1060" t="s">
        <s:v>2150</s:v>
      </s:c>
      <s:c r="D1060">
        <s:v>9</s:v>
      </s:c>
      <s:c r="E1060">
        <s:f>D1060*3.5*70/200</s:f>
        <s:v>11.025</s:v>
      </s:c>
    </s:row>
    <s:row r="1061">
      <s:c r="A1061" t="s">
        <s:v>2048</s:v>
      </s:c>
      <s:c r="B1061" t="s">
        <s:v>2151</s:v>
      </s:c>
      <s:c r="C1061" t="s">
        <s:v>2152</s:v>
      </s:c>
      <s:c r="D1061">
        <s:v>10.3</s:v>
      </s:c>
      <s:c r="E1061">
        <s:f>D1061*3.5*70/200</s:f>
        <s:v>12.617500000000001</s:v>
      </s:c>
    </s:row>
  </s:sheetData>
  <s:autoFilter xr:uid="{00000000-0009-0000-0000-000002000000}" ref="A1:E1061"/>
  <s:pageMargins left="0.75" right="0.75" top="1" bottom="1" header="0.5" footer="0.5"/>
</s:worksheet>
</file>

<file path=docProps/app.xml><?xml version="1.0" encoding="utf-8"?>
<ep:Properties xmlns:ep="http://schemas.openxmlformats.org/officeDocument/2006/extended-properties" xmlns:vt="http://schemas.openxmlformats.org/officeDocument/2006/docPropsVTypes">
  <ep:Application>Microsoft Macintosh Excel</ep:Application>
  <ep:DocSecurity>0</ep:DocSecurity>
  <ep:ScaleCrop>false</ep:ScaleCrop>
  <ep:HeadingPairs>
    <vt:vector size="2" baseType="variant">
      <vt:variant>
        <vt:lpstr>Листы</vt:lpstr>
      </vt:variant>
      <vt:variant>
        <vt:i4>3</vt:i4>
      </vt:variant>
    </vt:vector>
  </ep:HeadingPairs>
  <ep:TitlesOfParts>
    <vt:vector size="3" baseType="lpstr">
      <vt:lpstr>Калькулятор</vt:lpstr>
      <vt:lpstr>Данные MET</vt:lpstr>
      <vt:lpstr>Расчёт для веса</vt:lpstr>
    </vt:vector>
  </ep:TitlesOfParts>
  <ep:LinksUpToDate>false</ep:LinksUpToDate>
  <ep:SharedDoc>false</ep:SharedDoc>
  <ep:HyperlinksChanged>false</ep:HyperlinksChanged>
  <ep:AppVersion>16.0300</ep:AppVersion>
</ep:Properties>
</file>

<file path=docProps/core.xml><?xml version="1.0" encoding="utf-8"?>
<cp:coreProperties xmlns:dc="http://purl.org/dc/elements/1.1/" xmlns:xsi="http://www.w3.org/2001/XMLSchema-instance" xmlns:cp="http://schemas.openxmlformats.org/package/2006/metadata/core-properties" xmlns:dcterms="http://purl.org/dc/terms/">
  <dc:creator>openpyxl</dc:creator>
  <cp:lastModifiedBy>Алексей Антонов</cp:lastModifiedBy>
  <dcterms:created xsi:type="dcterms:W3CDTF">2026-09-06T05:38:05Z</dcterms:created>
  <dcterms:modified xsi:type="dcterms:W3CDTF">2026-10-14T07:44:03Z</dcterms:modified>
</cp:coreProperties>
</file>