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2.xml" ContentType="application/vnd.ms-office.chartstyle+xml"/>
  <Override PartName="/xl/worksheets/sheet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3="http://schemas.microsoft.com/office/spreadsheetml/2018/calcfeatures" mc:Ignorable="unk1 xr xr6 xr10 xr2">
  <s:fileVersion appName="xl" lastEdited="7" lowestEdited="7" rupBuild="10916"/>
  <s:workbookPr defaultThemeVersion="166925"/>
  <s:bookViews>
    <s:workbookView xr2:uid="{1AA1DAA8-FD88-8D4C-9009-9227ADE2FEC2}" xWindow="12540" yWindow="10140" windowWidth="26640" windowHeight="14760"/>
  </s:bookViews>
  <s:sheets>
    <s:sheet name="карипер мужчина" sheetId="3" state="visible" r:id="rId1"/>
    <s:sheet name="калипер женщина" sheetId="2" state="visible" r:id="rId2"/>
    <s:sheet name="Лист1" sheetId="1" state="visible" r:id="rId3"/>
  </s:sheets>
  <s:calcPr calcId="191029"/>
  <s:extLst>
    <s:ext uri="{140A7094-0E35-4892-8432-C4D2E57EDEB5}">
      <unk1:workbookPr chartTrackingRefBase="1"/>
    </s:ex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<s:sst xmlns:s="http://schemas.openxmlformats.org/spreadsheetml/2006/main" count="52" uniqueCount="32">
  <s:si>
    <s:t>Процент подкожного жира у женщин.</s:t>
  </s:si>
  <s:si>
    <s:t>бедро</s:t>
  </s:si>
  <s:si>
    <s:t>ДАТА:</s:t>
  </s:si>
  <s:si>
    <s:t>Рост СМ</s:t>
  </s:si>
  <s:si>
    <s:t>голень</s:t>
  </s:si>
  <s:si>
    <s:t>Предплечье</s:t>
  </s:si>
  <s:si>
    <s:t>Рост М</s:t>
  </s:si>
  <s:si>
    <s:t>плечо</s:t>
  </s:si>
  <s:si>
    <s:t>Плечо спереди</s:t>
  </s:si>
  <s:si>
    <s:t>Возраст</s:t>
  </s:si>
  <s:si>
    <s:t>Плечо сзади</s:t>
  </s:si>
  <s:si>
    <s:t>Вес (кг)</s:t>
  </s:si>
  <s:si>
    <s:t>Лопатка</s:t>
  </s:si>
  <s:si>
    <s:t>ИНДЕКС</s:t>
  </s:si>
  <s:si>
    <s:t>Живот</s:t>
  </s:si>
  <s:si>
    <s:t>Бедро</s:t>
  </s:si>
  <s:si>
    <s:t>Голень</s:t>
  </s:si>
  <s:si>
    <s:t>Сумма складок</s:t>
  </s:si>
  <s:si>
    <s:t>% жира</s:t>
  </s:si>
  <s:si>
    <s:t>МСМ(КГ)</s:t>
  </s:si>
  <s:si>
    <s:t>Обхват бедра</s:t>
  </s:si>
  <s:si>
    <s:t>Обхват голени</s:t>
  </s:si>
  <s:si>
    <s:t>Обхват плеча</s:t>
  </s:si>
  <s:si>
    <s:t>индекс бедра</s:t>
  </s:si>
  <s:si>
    <s:t>индекс голени</s:t>
  </s:si>
  <s:si>
    <s:t>индексплеча</s:t>
  </s:si>
  <s:si>
    <s:t>Процент подкожного жира у мужчин.</s:t>
  </s:si>
  <s:si>
    <s:t>Грудь</s:t>
  </s:si>
  <s:si>
    <s:t>обхват бедра</s:t>
  </s:si>
  <s:si>
    <s:t>обхват голени</s:t>
  </s:si>
  <s:si>
    <s:t>обхват плеча</s:t>
  </s:si>
  <s:si>
    <s:t>(кг) жира</s:t>
  </s:si>
</s:sst>
</file>

<file path=xl/styles.xml><?xml version="1.0" encoding="utf-8"?>
<s:styleSheet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mc:Ignorable="x14ac x16r2 xr">
  <s:numFmts count="1">
    <s:numFmt numFmtId="164" formatCode="0.0"/>
  </s:numFmts>
  <s:fonts x14ac:knownFonts="1" count="21">
    <s:font>
      <s:name val="Calibri"/>
      <s:charset val="204"/>
      <s:family val="2"/>
      <s:color theme="1"/>
      <s:sz val="12"/>
      <s:scheme val="minor"/>
    </s:font>
    <s:font>
      <s:name val="Calibri"/>
      <s:charset val="204"/>
      <s:family val="2"/>
      <s:color theme="1"/>
      <s:sz val="11"/>
      <s:scheme val="minor"/>
    </s:font>
    <s:font>
      <s:name val="Times New Roman"/>
      <s:charset val="204"/>
      <s:family val="1"/>
      <s:b val="1"/>
      <s:color theme="1"/>
      <s:sz val="16"/>
    </s:font>
    <s:font>
      <s:name val="Times New Roman"/>
      <s:charset val="204"/>
      <s:family val="1"/>
      <s:b val="1"/>
      <s:color theme="1"/>
      <s:sz val="12"/>
    </s:font>
    <s:font>
      <s:name val="Times New Roman"/>
      <s:charset val="204"/>
      <s:family val="1"/>
      <s:color theme="0"/>
      <s:sz val="12"/>
    </s:font>
    <s:font>
      <s:name val="Times New Roman"/>
      <s:charset val="204"/>
      <s:family val="1"/>
      <s:sz val="12"/>
    </s:font>
    <s:font>
      <s:name val="Calibri"/>
      <s:charset val="204"/>
      <s:family val="2"/>
      <s:sz val="11"/>
      <s:scheme val="minor"/>
    </s:font>
    <s:font>
      <s:name val="Times New Roman"/>
      <s:charset val="204"/>
      <s:family val="1"/>
      <s:color rgb="FFFF0000"/>
      <s:sz val="12"/>
    </s:font>
    <s:font>
      <s:name val="Calibri"/>
      <s:charset val="204"/>
      <s:family val="2"/>
      <s:color rgb="FFFF0000"/>
      <s:sz val="11"/>
      <s:scheme val="minor"/>
    </s:font>
    <s:font>
      <s:name val="Times New Roman"/>
      <s:charset val="204"/>
      <s:family val="1"/>
      <s:b val="1"/>
      <s:color rgb="FFFF0000"/>
      <s:sz val="16"/>
    </s:font>
    <s:font>
      <s:name val="Times New Roman"/>
      <s:charset val="204"/>
      <s:family val="1"/>
      <s:b val="1"/>
      <s:color rgb="FFFF0000"/>
      <s:sz val="12"/>
    </s:font>
    <s:font>
      <s:name val="Times New Roman"/>
      <s:charset val="204"/>
      <s:family val="1"/>
      <s:b val="1"/>
      <s:color theme="0"/>
      <s:sz val="14"/>
    </s:font>
    <s:font>
      <s:name val="Times New Roman"/>
      <s:charset val="204"/>
      <s:family val="1"/>
      <s:b val="1"/>
      <s:color theme="0"/>
      <s:sz val="16"/>
    </s:font>
    <s:font>
      <s:name val="Times New Roman"/>
      <s:charset val="204"/>
      <s:family val="1"/>
      <s:color theme="1"/>
      <s:sz val="11"/>
    </s:font>
    <s:font>
      <s:name val="Times New Roman"/>
      <s:charset val="204"/>
      <s:family val="1"/>
      <s:b val="1"/>
      <s:color theme="1"/>
      <s:sz val="11"/>
    </s:font>
    <s:font>
      <s:name val="Calibri"/>
      <s:charset val="204"/>
      <s:family val="2"/>
      <s:color theme="0"/>
      <s:sz val="11"/>
      <s:scheme val="minor"/>
    </s:font>
    <s:font>
      <s:name val="Times New Roman"/>
      <s:charset val="204"/>
      <s:family val="1"/>
      <s:color theme="1"/>
      <s:sz val="12"/>
    </s:font>
    <s:font>
      <s:name val="Times New Roman"/>
      <s:charset val="204"/>
      <s:family val="1"/>
      <s:color theme="1"/>
      <s:sz val="16"/>
    </s:font>
    <s:font>
      <s:name val="Times New Roman"/>
      <s:family val="1"/>
      <s:b val="1"/>
      <s:color theme="1"/>
      <s:sz val="16"/>
    </s:font>
    <s:font>
      <s:name val="Times New Roman"/>
      <s:family val="1"/>
      <s:b val="1"/>
      <s:color theme="1"/>
      <s:sz val="11"/>
    </s:font>
    <s:font>
      <s:name val="Calibri"/>
      <s:charset val="204"/>
      <s:family val="2"/>
      <s:b val="1"/>
      <s:color theme="1"/>
      <s:sz val="16"/>
      <s:scheme val="minor"/>
    </s:font>
  </s:fonts>
  <s:fills count="9">
    <s:fill>
      <s:patternFill patternType="none"/>
    </s:fill>
    <s:fill>
      <s:patternFill patternType="gray125"/>
    </s:fill>
    <s:fill>
      <s:patternFill patternType="solid">
        <s:fgColor theme="8" tint="0.6"/>
        <s:bgColor indexed="64"/>
      </s:patternFill>
    </s:fill>
    <s:fill>
      <s:patternFill patternType="solid">
        <s:fgColor theme="5" tint="0.6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rgb="FFFFFF00"/>
        <s:bgColor indexed="64"/>
      </s:patternFill>
    </s:fill>
    <s:fill>
      <s:patternFill patternType="solid">
        <s:fgColor rgb="FFFFC000"/>
        <s:bgColor indexed="64"/>
      </s:patternFill>
    </s:fill>
    <s:fill>
      <s:patternFill patternType="solid">
        <s:fgColor rgb="FFFF0000"/>
        <s:bgColor indexed="64"/>
      </s:patternFill>
    </s:fill>
    <s:fill>
      <s:patternFill patternType="solid">
        <s:fgColor theme="0"/>
        <s:bgColor indexed="64"/>
      </s:patternFill>
    </s:fill>
  </s:fills>
  <s:borders count="33">
    <s:border>
      <s:left/>
      <s:right/>
      <s:top/>
      <s:bottom/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thin">
        <s:color indexed="64"/>
      </s:right>
      <s:top/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/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/>
      <s:top/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 style="thin">
        <s:color indexed="64"/>
      </s:top>
      <s:bottom/>
      <s:diagonal/>
    </s:border>
    <s:border>
      <s:left style="medium">
        <s:color indexed="64"/>
      </s:left>
      <s:right style="medium">
        <s:color indexed="64"/>
      </s:right>
      <s:top style="thin">
        <s:color indexed="64"/>
      </s:top>
      <s:bottom/>
      <s:diagonal/>
    </s:border>
    <s:border>
      <s:left style="medium">
        <s:color indexed="64"/>
      </s:left>
      <s:right/>
      <s:top/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 style="medium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/>
      <s:bottom/>
      <s:diagonal/>
    </s:border>
    <s:border>
      <s:left style="medium">
        <s:color indexed="64"/>
      </s:left>
      <s:right style="medium">
        <s:color indexed="64"/>
      </s:right>
      <s:top/>
      <s:bottom/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medium">
        <s:color indexed="64"/>
      </s:bottom>
      <s:diagonal/>
    </s:border>
  </s:borders>
  <s:cellStyleXfs count="2">
    <s:xf numFmtId="0" fontId="0" fillId="0" borderId="0"/>
    <s:xf numFmtId="0" fontId="1" fillId="0" borderId="0"/>
  </s:cellStyleXfs>
  <s:cellXfs count="76">
    <s:xf numFmtId="0" fontId="0" fillId="0" borderId="0" xfId="0"/>
    <s:xf numFmtId="0" fontId="1" fillId="0" borderId="0" xfId="1"/>
    <s:xf numFmtId="0" fontId="3" fillId="0" borderId="0" xfId="1" applyFont="1"/>
    <s:xf numFmtId="0" fontId="4" fillId="0" borderId="0" xfId="1" applyFont="1"/>
    <s:xf numFmtId="0" fontId="2" fillId="3" borderId="4" xfId="1" applyFont="1" applyFill="1" applyBorder="1" applyAlignment="1">
      <s:alignment horizontal="center" vertical="center" mc:Ignorable="vyd"/>
    </s:xf>
    <s:xf numFmtId="16" fontId="2" fillId="3" borderId="5" xfId="1" applyNumberFormat="1" applyFont="1" applyFill="1" applyBorder="1" applyAlignment="1">
      <s:alignment horizontal="center" vertical="center" mc:Ignorable="vyd"/>
    </s:xf>
    <s:xf numFmtId="0" fontId="2" fillId="3" borderId="5" xfId="1" applyFont="1" applyFill="1" applyBorder="1" applyAlignment="1">
      <s:alignment horizontal="center" vertical="center" mc:Ignorable="vyd"/>
    </s:xf>
    <s:xf numFmtId="0" fontId="2" fillId="2" borderId="6" xfId="1" applyFont="1" applyFill="1" applyBorder="1" applyAlignment="1">
      <s:alignment horizontal="center" vertical="center" mc:Ignorable="vyd"/>
    </s:xf>
    <s:xf numFmtId="0" fontId="2" fillId="4" borderId="7" xfId="1" applyFont="1" applyFill="1" applyBorder="1" applyAlignment="1">
      <s:alignment horizontal="center" vertical="center" mc:Ignorable="vyd"/>
    </s:xf>
    <s:xf numFmtId="0" fontId="2" fillId="2" borderId="8" xfId="1" applyFont="1" applyFill="1" applyBorder="1" applyAlignment="1">
      <s:alignment horizontal="center" vertical="center" mc:Ignorable="vyd"/>
    </s:xf>
    <s:xf numFmtId="0" fontId="2" fillId="5" borderId="9" xfId="1" applyFont="1" applyFill="1" applyBorder="1" applyAlignment="1">
      <s:alignment horizontal="center" vertical="center" mc:Ignorable="vyd"/>
    </s:xf>
    <s:xf numFmtId="0" fontId="2" fillId="5" borderId="10" xfId="1" applyFont="1" applyFill="1" applyBorder="1" applyAlignment="1">
      <s:alignment horizontal="center" vertical="center" mc:Ignorable="vyd"/>
    </s:xf>
    <s:xf numFmtId="0" fontId="2" fillId="5" borderId="11" xfId="1" applyFont="1" applyFill="1" applyBorder="1" applyAlignment="1">
      <s:alignment horizontal="center" vertical="center" mc:Ignorable="vyd"/>
    </s:xf>
    <s:xf numFmtId="0" fontId="2" fillId="5" borderId="8" xfId="1" applyFont="1" applyFill="1" applyBorder="1" applyAlignment="1">
      <s:alignment horizontal="center" vertical="center" mc:Ignorable="vyd"/>
    </s:xf>
    <s:xf numFmtId="164" fontId="5" fillId="0" borderId="0" xfId="1" applyNumberFormat="1" applyFont="1" applyAlignment="1">
      <s:alignment horizontal="center" vertical="center" mc:Ignorable="vyd"/>
    </s:xf>
    <s:xf numFmtId="0" fontId="6" fillId="0" borderId="0" xfId="1" applyFont="1"/>
    <s:xf numFmtId="0" fontId="2" fillId="2" borderId="12" xfId="1" applyFont="1" applyFill="1" applyBorder="1" applyAlignment="1">
      <s:alignment horizontal="center" vertical="center" mc:Ignorable="vyd"/>
    </s:xf>
    <s:xf numFmtId="0" fontId="2" fillId="4" borderId="13" xfId="1" applyFont="1" applyFill="1" applyBorder="1" applyAlignment="1">
      <s:alignment horizontal="center" vertical="center" mc:Ignorable="vyd"/>
    </s:xf>
    <s:xf numFmtId="0" fontId="7" fillId="0" borderId="0" xfId="1" applyFont="1"/>
    <s:xf numFmtId="0" fontId="8" fillId="0" borderId="0" xfId="1" applyFont="1"/>
    <s:xf numFmtId="0" fontId="2" fillId="2" borderId="14" xfId="1" applyFont="1" applyFill="1" applyBorder="1" applyAlignment="1">
      <s:alignment horizontal="center" vertical="center" mc:Ignorable="vyd"/>
    </s:xf>
    <s:xf numFmtId="164" fontId="2" fillId="4" borderId="15" xfId="1" applyNumberFormat="1" applyFont="1" applyFill="1" applyBorder="1" applyAlignment="1">
      <s:alignment horizontal="center" vertical="center" mc:Ignorable="vyd"/>
    </s:xf>
    <s:xf numFmtId="0" fontId="9" fillId="0" borderId="0" xfId="1" applyFont="1"/>
    <s:xf numFmtId="0" fontId="10" fillId="0" borderId="0" xfId="1" applyFont="1"/>
    <s:xf numFmtId="0" fontId="2" fillId="2" borderId="16" xfId="1" applyFont="1" applyFill="1" applyBorder="1" applyAlignment="1">
      <s:alignment horizontal="center" vertical="center" mc:Ignorable="vyd"/>
    </s:xf>
    <s:xf numFmtId="0" fontId="2" fillId="5" borderId="17" xfId="1" applyFont="1" applyFill="1" applyBorder="1" applyAlignment="1">
      <s:alignment horizontal="center" vertical="center" mc:Ignorable="vyd"/>
    </s:xf>
    <s:xf numFmtId="0" fontId="2" fillId="5" borderId="16" xfId="1" applyFont="1" applyFill="1" applyBorder="1" applyAlignment="1">
      <s:alignment horizontal="center" vertical="center" mc:Ignorable="vyd"/>
    </s:xf>
    <s:xf numFmtId="0" fontId="10" fillId="0" borderId="0" xfId="1" applyFont="1" applyAlignment="1">
      <s:alignment horizontal="center" vertical="center" mc:Ignorable="vyd"/>
    </s:xf>
    <s:xf numFmtId="0" fontId="2" fillId="2" borderId="1" xfId="1" applyFont="1" applyFill="1" applyBorder="1" applyAlignment="1">
      <s:alignment horizontal="center" vertical="center" wrapText="1" mc:Ignorable="vyd"/>
    </s:xf>
    <s:xf numFmtId="0" fontId="2" fillId="5" borderId="5" xfId="1" applyFont="1" applyFill="1" applyBorder="1" applyAlignment="1">
      <s:alignment horizontal="center" vertical="center" mc:Ignorable="vyd"/>
    </s:xf>
    <s:xf numFmtId="0" fontId="2" fillId="2" borderId="18" xfId="1" applyFont="1" applyFill="1" applyBorder="1" applyAlignment="1">
      <s:alignment horizontal="center" vertical="center" mc:Ignorable="vyd"/>
    </s:xf>
    <s:xf numFmtId="164" fontId="2" fillId="6" borderId="19" xfId="1" applyNumberFormat="1" applyFont="1" applyFill="1" applyBorder="1" applyAlignment="1">
      <s:alignment horizontal="center" vertical="center" mc:Ignorable="vyd"/>
    </s:xf>
    <s:xf numFmtId="0" fontId="11" fillId="7" borderId="20" xfId="1" applyFont="1" applyFill="1" applyBorder="1" applyAlignment="1">
      <s:alignment horizontal="center" vertical="center" mc:Ignorable="vyd"/>
    </s:xf>
    <s:xf numFmtId="164" fontId="12" fillId="7" borderId="21" xfId="1" applyNumberFormat="1" applyFont="1" applyFill="1" applyBorder="1" applyAlignment="1">
      <s:alignment horizontal="center" vertical="center" mc:Ignorable="vyd"/>
    </s:xf>
    <s:xf numFmtId="0" fontId="13" fillId="0" borderId="0" xfId="1" applyFont="1"/>
    <s:xf numFmtId="0" fontId="14" fillId="0" borderId="0" xfId="1" applyFont="1"/>
    <s:xf numFmtId="0" fontId="15" fillId="8" borderId="0" xfId="1" applyFont="1" applyFill="1"/>
    <s:xf numFmtId="0" fontId="15" fillId="0" borderId="0" xfId="1" applyFont="1"/>
    <s:xf numFmtId="0" fontId="16" fillId="0" borderId="0" xfId="1" applyFont="1"/>
    <s:xf numFmtId="0" fontId="5" fillId="0" borderId="0" xfId="1" applyFont="1"/>
    <s:xf numFmtId="0" fontId="17" fillId="0" borderId="0" xfId="1" applyFont="1"/>
    <s:xf numFmtId="0" fontId="4" fillId="0" borderId="0" xfId="1" applyFont="1" applyAlignment="1">
      <s:alignment horizontal="center" vertical="center" mc:Ignorable="vyd"/>
    </s:xf>
    <s:xf numFmtId="0" fontId="2" fillId="2" borderId="29" xfId="1" applyFont="1" applyFill="1" applyBorder="1" applyAlignment="1">
      <s:alignment horizontal="center" vertical="center" mc:Ignorable="vyd"/>
    </s:xf>
    <s:xf numFmtId="164" fontId="2" fillId="6" borderId="30" xfId="1" applyNumberFormat="1" applyFont="1" applyFill="1" applyBorder="1" applyAlignment="1">
      <s:alignment horizontal="center" vertical="center" mc:Ignorable="vyd"/>
    </s:xf>
    <s:xf numFmtId="0" fontId="11" fillId="7" borderId="31" xfId="1" applyFont="1" applyFill="1" applyBorder="1" applyAlignment="1">
      <s:alignment horizontal="center" vertical="center" mc:Ignorable="vyd"/>
    </s:xf>
    <s:xf numFmtId="164" fontId="12" fillId="7" borderId="32" xfId="1" applyNumberFormat="1" applyFont="1" applyFill="1" applyBorder="1" applyAlignment="1">
      <s:alignment horizontal="center" vertical="center" mc:Ignorable="vyd"/>
    </s:xf>
    <s:xf numFmtId="0" fontId="2" fillId="2" borderId="25" xfId="1" applyFont="1" applyFill="1" applyBorder="1" applyAlignment="1">
      <s:alignment horizontal="center" vertical="center" wrapText="1" mc:Ignorable="vyd"/>
    </s:xf>
    <s:xf numFmtId="0" fontId="14" fillId="5" borderId="26" xfId="1" applyFont="1" applyFill="1" applyBorder="1"/>
    <s:xf numFmtId="0" fontId="14" fillId="5" borderId="13" xfId="1" applyFont="1" applyFill="1" applyBorder="1"/>
    <s:xf numFmtId="0" fontId="18" fillId="2" borderId="25" xfId="1" applyFont="1" applyFill="1" applyBorder="1" applyAlignment="1">
      <s:alignment horizontal="center" vertical="center" wrapText="1" mc:Ignorable="vyd"/>
    </s:xf>
    <s:xf numFmtId="0" fontId="18" fillId="5" borderId="26" xfId="1" applyFont="1" applyFill="1" applyBorder="1" applyAlignment="1">
      <s:alignment horizontal="center" vertical="center" wrapText="1" mc:Ignorable="vyd"/>
    </s:xf>
    <s:xf numFmtId="0" fontId="19" fillId="5" borderId="26" xfId="1" applyFont="1" applyFill="1" applyBorder="1"/>
    <s:xf numFmtId="0" fontId="19" fillId="5" borderId="13" xfId="1" applyFont="1" applyFill="1" applyBorder="1"/>
    <s:xf numFmtId="0" fontId="18" fillId="2" borderId="27" xfId="1" applyFont="1" applyFill="1" applyBorder="1" applyAlignment="1">
      <s:alignment horizontal="center" vertical="center" mc:Ignorable="vyd"/>
    </s:xf>
    <s:xf numFmtId="0" fontId="18" fillId="5" borderId="28" xfId="1" applyFont="1" applyFill="1" applyBorder="1" applyAlignment="1">
      <s:alignment horizontal="center" vertical="center" mc:Ignorable="vyd"/>
    </s:xf>
    <s:xf numFmtId="0" fontId="19" fillId="5" borderId="28" xfId="1" applyFont="1" applyFill="1" applyBorder="1"/>
    <s:xf numFmtId="0" fontId="19" fillId="5" borderId="15" xfId="1" applyFont="1" applyFill="1" applyBorder="1"/>
    <s:xf numFmtId="0" fontId="15" fillId="8" borderId="0" xfId="1" applyFont="1" applyFill="1" applyAlignment="1">
      <s:alignment horizontal="center" vertical="center" mc:Ignorable="vyd"/>
    </s:xf>
    <s:xf numFmtId="0" fontId="2" fillId="2" borderId="1" xfId="1" applyFont="1" applyFill="1" applyBorder="1" applyAlignment="1">
      <s:alignment horizontal="center" vertical="center" mc:Ignorable="vyd"/>
    </s:xf>
    <s:xf numFmtId="0" fontId="18" fillId="2" borderId="22" xfId="1" applyFont="1" applyFill="1" applyBorder="1" applyAlignment="1">
      <s:alignment horizontal="center" vertical="center" wrapText="1" mc:Ignorable="vyd"/>
    </s:xf>
    <s:xf numFmtId="0" fontId="18" fillId="5" borderId="23" xfId="1" applyFont="1" applyFill="1" applyBorder="1" applyAlignment="1">
      <s:alignment horizontal="center" vertical="center" wrapText="1" mc:Ignorable="vyd"/>
    </s:xf>
    <s:xf numFmtId="0" fontId="18" fillId="5" borderId="24" xfId="1" applyFont="1" applyFill="1" applyBorder="1" applyAlignment="1">
      <s:alignment horizontal="center" vertical="center" wrapText="1" mc:Ignorable="vyd"/>
    </s:xf>
    <s:xf numFmtId="0" fontId="18" fillId="5" borderId="13" xfId="1" applyFont="1" applyFill="1" applyBorder="1" applyAlignment="1">
      <s:alignment horizontal="center" vertical="center" wrapText="1" mc:Ignorable="vyd"/>
    </s:xf>
    <s:xf numFmtId="0" fontId="18" fillId="5" borderId="15" xfId="1" applyFont="1" applyFill="1" applyBorder="1" applyAlignment="1">
      <s:alignment horizontal="center" vertical="center" mc:Ignorable="vyd"/>
    </s:xf>
    <s:xf numFmtId="164" fontId="2" fillId="6" borderId="5" xfId="1" applyNumberFormat="1" applyFont="1" applyFill="1" applyBorder="1" applyAlignment="1">
      <s:alignment horizontal="center" vertical="center" mc:Ignorable="vyd"/>
    </s:xf>
    <s:xf numFmtId="0" fontId="2" fillId="5" borderId="9" xfId="0" applyFont="1" applyFill="1" applyBorder="1" applyAlignment="1">
      <s:alignment horizontal="center" vertical="center" mc:Ignorable="vyd"/>
    </s:xf>
    <s:xf numFmtId="0" fontId="2" fillId="5" borderId="11" xfId="0" applyFont="1" applyFill="1" applyBorder="1" applyAlignment="1">
      <s:alignment horizontal="center" vertical="center" mc:Ignorable="vyd"/>
    </s:xf>
    <s:xf numFmtId="0" fontId="2" fillId="5" borderId="17" xfId="0" applyFont="1" applyFill="1" applyBorder="1" applyAlignment="1">
      <s:alignment horizontal="center" vertical="center" mc:Ignorable="vyd"/>
    </s:xf>
    <s:xf numFmtId="0" fontId="2" fillId="5" borderId="26" xfId="0" applyFont="1" applyFill="1" applyBorder="1" applyAlignment="1">
      <s:alignment horizontal="center" vertical="center" wrapText="1" mc:Ignorable="vyd"/>
    </s:xf>
    <s:xf numFmtId="0" fontId="20" fillId="5" borderId="26" xfId="0" applyFont="1" applyFill="1" applyBorder="1" applyAlignment="1">
      <s:alignment horizontal="center" vertical="center" wrapText="1" mc:Ignorable="vyd"/>
    </s:xf>
    <s:xf numFmtId="0" fontId="20" fillId="5" borderId="28" xfId="0" applyFont="1" applyFill="1" applyBorder="1" applyAlignment="1">
      <s:alignment horizontal="center" vertical="center" mc:Ignorable="vyd"/>
    </s:xf>
    <s:xf numFmtId="0" fontId="2" fillId="2" borderId="1" xfId="1" applyFont="1" applyFill="1" applyBorder="1" applyAlignment="1">
      <s:alignment horizontal="center" vertical="center" mc:Ignorable="vyd"/>
    </s:xf>
    <s:xf numFmtId="0" fontId="2" fillId="2" borderId="2" xfId="1" applyFont="1" applyFill="1" applyBorder="1" applyAlignment="1">
      <s:alignment horizontal="center" vertical="center" mc:Ignorable="vyd"/>
    </s:xf>
    <s:xf numFmtId="0" fontId="2" fillId="2" borderId="3" xfId="1" applyFont="1" applyFill="1" applyBorder="1" applyAlignment="1">
      <s:alignment horizontal="center" vertical="center" mc:Ignorable="vyd"/>
    </s:xf>
    <s:xf numFmtId="0" fontId="5" fillId="0" borderId="0" xfId="1" applyFont="1" applyAlignment="1">
      <s:alignment horizontal="center" mc:Ignorable="vyd"/>
    </s:xf>
    <s:xf numFmtId="0" fontId="10" fillId="0" borderId="0" xfId="1" applyFont="1" applyAlignment="1">
      <s:alignment horizontal="center" mc:Ignorable="vyd"/>
    </s:xf>
  </s:cellXfs>
  <s:cellStyles count="2">
    <s:cellStyle name="Обычный" xfId="0" builtinId="0"/>
    <s:cellStyle xr:uid="{97910822-1C46-934E-91A9-C149A0BAA4D2}" name="Обычный 2" xfId="1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6" Type="http://schemas.openxmlformats.org/officeDocument/2006/relationships/sharedStrings" Target="sharedStrings.xml"/><Relationship Id="rId4" Type="http://schemas.openxmlformats.org/officeDocument/2006/relationships/styles" Target="styles.xml"/><Relationship Target="theme/theme1.xml" Type="http://schemas.openxmlformats.org/officeDocument/2006/relationships/theme" Id="rId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charts/_rels/chart1.xml.rels><?xml version="1.0" 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15="http://schemas.microsoft.com/office/drawing/2012/chart" xmlns:a="http://schemas.openxmlformats.org/drawingml/2006/main" xmlns:c="http://schemas.openxmlformats.org/drawingml/2006/chart" xmlns:unk5="http://schemas.microsoft.com/office/drawing/2014/chart">
  <c:date1904 val="0"/>
  <c:lang val="ru-RU"/>
  <c:roundedCorners val="0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мужчина'!$C$13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мужчина'!$D$13</c:f>
              <c:numCache>
                <c:formatCode>0.0</c:formatCode>
                <c:ptCount val="1"/>
                <c:pt idx="0">
                  <c:v>28.864719658612813</c:v>
                </c:pt>
              </c:numCache>
            </c:numRef>
          </c:val>
          <c:extLst>
            <c:ext uri="{C3380CC4-5D6E-409C-BE32-E72D297353CC}">
              <unk5:uniqueId val="{00000000-8F25-4445-97B2-160A9945F32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мужчина'!$C$13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мужчина'!$E$13</c:f>
              <c:numCache>
                <c:formatCode>0.0</c:formatCode>
                <c:ptCount val="1"/>
                <c:pt idx="0">
                  <c:v>25.452071511649514</c:v>
                </c:pt>
              </c:numCache>
            </c:numRef>
          </c:val>
          <c:extLst>
            <c:ext uri="{C3380CC4-5D6E-409C-BE32-E72D297353CC}">
              <unk5:uniqueId val="{00000001-8F25-4445-97B2-160A9945F327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мужчина'!$C$13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мужчина'!$F$13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5:uniqueId val="{00000002-8F25-4445-97B2-160A9945F327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мужчина'!$C$13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мужчина'!$G$13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5:uniqueId val="{00000003-8F25-4445-97B2-160A9945F327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мужчина'!$C$13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мужчина'!$H$13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5:uniqueId val="{00000004-8F25-4445-97B2-160A9945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5283936"/>
        <c:axId val="415288856"/>
      </c:barChart>
      <c:valAx>
        <c:axId val="415288856"/>
        <c:scaling>
          <c:orientation val="minMax"/>
        </c:scaling>
        <c:delete val="0"/>
        <c:axPos val="l"/>
        <c:majorGridlines>
          <c:spPr bwMode="auto"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283936"/>
        <c:crosses val="autoZero"/>
        <c:crossBetween val="between"/>
      </c:valAx>
      <c:catAx>
        <c:axId val="4152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5288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vyd="http://volga.yandex.com/schemas/document/model" xmlns:mc="http://schemas.openxmlformats.org/markup-compatibility/2006" xmlns:a="http://schemas.openxmlformats.org/drawingml/2006/main" xmlns:c="http://schemas.openxmlformats.org/drawingml/2006/chart" xmlns:unk5="http://schemas.microsoft.com/office/drawing/2014/chart" xmlns:c15="http://schemas.microsoft.com/office/drawing/2012/chart">
  <c:date1904 val="0"/>
  <c:lang val="ru-RU"/>
  <c:roundedCorners val="0"/>
  <c:chart>
    <c:title mc:Ignorable="vyd">
      <c:overlay val="0"/>
      <c:spPr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kern="1200" baseline="0" sz="1600" b="1" i="0" u="none" strike="noStrike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женщина'!$D$12</c:f>
              <c:numCache>
                <c:formatCode>0.0</c:formatCode>
                <c:ptCount val="1"/>
                <c:pt idx="0">
                  <c:v>13.88078990916639</c:v>
                </c:pt>
              </c:numCache>
            </c:numRef>
          </c:val>
          <c:extLst>
            <c:ext uri="{C3380CC4-5D6E-409C-BE32-E72D297353CC}">
              <unk5:uniqueId val="{00000000-F332-1441-A5CC-B3C5B8544E4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женщина'!$E$12</c:f>
              <c:numCache>
                <c:formatCode>0.0</c:formatCode>
                <c:ptCount val="1"/>
                <c:pt idx="0">
                  <c:v>12.352250544168902</c:v>
                </c:pt>
              </c:numCache>
            </c:numRef>
          </c:val>
          <c:extLst>
            <c:ext uri="{C3380CC4-5D6E-409C-BE32-E72D297353CC}">
              <unk5:uniqueId val="{00000001-F332-1441-A5CC-B3C5B8544E46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женщина'!$F$12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5:uniqueId val="{00000002-F332-1441-A5CC-B3C5B8544E46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женщина'!$G$12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5:uniqueId val="{00000003-F332-1441-A5CC-B3C5B8544E46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женщина'!$H$12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5:uniqueId val="{00000004-F332-1441-A5CC-B3C5B8544E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5919960"/>
        <c:axId val="535920288"/>
      </c:barChart>
      <c:valAx>
        <c:axId val="535920288"/>
        <c:scaling>
          <c:orientation val="minMax"/>
        </c:scaling>
        <c:delete val="0"/>
        <c:axPos val="l"/>
        <c:majorGridlines>
          <c:spPr bwMode="auto"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919960"/>
        <c:crosses val="autoZero"/>
        <c:crossBetween val="between"/>
      </c:valAx>
      <c:catAx>
        <c:axId val="535919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920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unk6:colorStyle xmlns:unk6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unk6:variation/>
  <unk6:variation>
    <a:lumMod val="60000"/>
  </unk6:variation>
  <unk6:variation>
    <a:lumMod val="80000"/>
    <a:lumOff val="20000"/>
  </unk6:variation>
  <unk6:variation>
    <a:lumMod val="80000"/>
  </unk6:variation>
  <unk6:variation>
    <a:lumMod val="60000"/>
    <a:lumOff val="40000"/>
  </unk6:variation>
  <unk6:variation>
    <a:lumMod val="50000"/>
  </unk6:variation>
  <unk6:variation>
    <a:lumMod val="70000"/>
    <a:lumOff val="30000"/>
  </unk6:variation>
  <unk6:variation>
    <a:lumMod val="70000"/>
  </unk6:variation>
  <unk6:variation>
    <a:lumMod val="50000"/>
    <a:lumOff val="50000"/>
  </unk6:variation>
</unk6:colorStyle>
</file>

<file path=xl/charts/colors2.xml><?xml version="1.0" encoding="utf-8"?>
<unk6:colorStyle xmlns:unk6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unk6:variation/>
  <unk6:variation>
    <a:lumMod val="60000"/>
  </unk6:variation>
  <unk6:variation>
    <a:lumMod val="80000"/>
    <a:lumOff val="20000"/>
  </unk6:variation>
  <unk6:variation>
    <a:lumMod val="80000"/>
  </unk6:variation>
  <unk6:variation>
    <a:lumMod val="60000"/>
    <a:lumOff val="40000"/>
  </unk6:variation>
  <unk6:variation>
    <a:lumMod val="50000"/>
  </unk6:variation>
  <unk6:variation>
    <a:lumMod val="70000"/>
    <a:lumOff val="30000"/>
  </unk6:variation>
  <unk6:variation>
    <a:lumMod val="70000"/>
  </unk6:variation>
  <unk6:variation>
    <a:lumMod val="50000"/>
    <a:lumOff val="50000"/>
  </unk6:variation>
</unk6:colorStyle>
</file>

<file path=xl/charts/style1.xml><?xml version="1.0" encoding="utf-8"?>
<unk6:chartStyle xmlns:unk6="http://schemas.microsoft.com/office/drawing/2012/chartStyle" xmlns:a="http://schemas.openxmlformats.org/drawingml/2006/main" id="207">
  <unk6:axisTitle>
    <unk6:lnRef idx="0"/>
    <unk6:fillRef idx="0"/>
    <unk6:effectRef idx="0"/>
    <unk6:fontRef idx="minor">
      <a:schemeClr val="tx2"/>
    </unk6:fontRef>
    <unk6:defRPr sz="900" b="1" kern="1200"/>
  </unk6:axisTitle>
  <unk6:categoryAxis>
    <unk6:lnRef idx="0"/>
    <unk6:fillRef idx="0"/>
    <unk6:effectRef idx="0"/>
    <unk6:fontRef idx="minor">
      <a:schemeClr val="tx2"/>
    </unk6:fontRef>
    <unk6:spPr>
      <a:ln w="9525" cap="flat" cmpd="sng" algn="ctr">
        <a:solidFill>
          <a:schemeClr val="tx2">
            <a:lumMod val="15000"/>
            <a:lumOff val="85000"/>
          </a:schemeClr>
        </a:solidFill>
        <a:round/>
      </a:ln>
    </unk6:spPr>
    <unk6:defRPr sz="900" kern="1200"/>
  </unk6:categoryAxis>
  <unk6:chartArea mods="allowNoFillOverride allowNoLineOverride">
    <unk6:lnRef idx="0"/>
    <unk6:fillRef idx="0"/>
    <unk6:effectRef idx="0"/>
    <unk6:fontRef idx="minor">
      <a:schemeClr val="tx2"/>
    </unk6:fontRef>
    <unk6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unk6:spPr>
    <unk6:defRPr sz="900" kern="1200"/>
  </unk6:chartArea>
  <unk6:dataLabel>
    <unk6:lnRef idx="0"/>
    <unk6:fillRef idx="0"/>
    <unk6:effectRef idx="0"/>
    <unk6:fontRef idx="minor">
      <a:schemeClr val="tx2"/>
    </unk6:fontRef>
    <unk6:defRPr sz="900" kern="1200"/>
  </unk6:dataLabel>
  <unk6:dataLabelCallout>
    <unk6:lnRef idx="0"/>
    <unk6:fillRef idx="0"/>
    <unk6:effectRef idx="0"/>
    <unk6:fontRef idx="minor">
      <a:schemeClr val="dk2">
        <a:lumMod val="75000"/>
      </a:schemeClr>
    </unk6:fontRef>
    <unk6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unk6:spPr>
    <unk6:defRPr sz="900" kern="1200"/>
    <unk6:bodyPr rot="0" spcFirstLastPara="1" vertOverflow="clip" horzOverflow="clip" vert="horz" wrap="square" lIns="36576" tIns="18288" rIns="36576" bIns="18288" anchor="ctr" anchorCtr="1">
      <a:spAutoFit/>
    </unk6:bodyPr>
  </unk6:dataLabelCallout>
  <unk6:dataPoint>
    <unk6:lnRef idx="0"/>
    <unk6:fillRef idx="3">
      <unk6:styleClr val="auto"/>
    </unk6:fillRef>
    <unk6:effectRef idx="2"/>
    <unk6:fontRef idx="minor">
      <a:schemeClr val="tx2"/>
    </unk6:fontRef>
  </unk6:dataPoint>
  <unk6:dataPoint3D>
    <unk6:lnRef idx="0"/>
    <unk6:fillRef idx="3">
      <unk6:styleClr val="auto"/>
    </unk6:fillRef>
    <unk6:effectRef idx="2"/>
    <unk6:fontRef idx="minor">
      <a:schemeClr val="tx2"/>
    </unk6:fontRef>
  </unk6:dataPoint3D>
  <unk6:dataPointLine>
    <unk6:lnRef idx="0">
      <unk6:styleClr val="auto"/>
    </unk6:lnRef>
    <unk6:fillRef idx="3"/>
    <unk6:effectRef idx="2"/>
    <unk6:fontRef idx="minor">
      <a:schemeClr val="tx2"/>
    </unk6:fontRef>
    <unk6:spPr>
      <a:ln w="31750" cap="rnd">
        <a:solidFill>
          <a:schemeClr val="phClr"/>
        </a:solidFill>
        <a:round/>
      </a:ln>
    </unk6:spPr>
  </unk6:dataPointLine>
  <unk6:dataPointMarker>
    <unk6:lnRef idx="0"/>
    <unk6:fillRef idx="3">
      <unk6:styleClr val="auto"/>
    </unk6:fillRef>
    <unk6:effectRef idx="2"/>
    <unk6:fontRef idx="minor">
      <a:schemeClr val="tx2"/>
    </unk6:fontRef>
    <unk6:spPr>
      <a:ln w="12700">
        <a:solidFill>
          <a:schemeClr val="lt2"/>
        </a:solidFill>
        <a:round/>
      </a:ln>
    </unk6:spPr>
  </unk6:dataPointMarker>
  <unk6:dataPointMarkerLayout symbol="circle" size="6"/>
  <unk6:dataPointWireframe>
    <unk6:lnRef idx="0">
      <unk6:styleClr val="auto"/>
    </unk6:lnRef>
    <unk6:fillRef idx="3"/>
    <unk6:effectRef idx="2"/>
    <unk6:fontRef idx="minor">
      <a:schemeClr val="tx2"/>
    </unk6:fontRef>
    <unk6:spPr>
      <a:ln w="9525" cap="rnd">
        <a:solidFill>
          <a:schemeClr val="phClr"/>
        </a:solidFill>
        <a:round/>
      </a:ln>
    </unk6:spPr>
  </unk6:dataPointWireframe>
  <unk6:dataTabl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15000"/>
            <a:lumOff val="85000"/>
          </a:schemeClr>
        </a:solidFill>
      </a:ln>
    </unk6:spPr>
    <unk6:defRPr sz="900" kern="1200"/>
  </unk6:dataTable>
  <unk6:downBar>
    <unk6:lnRef idx="0"/>
    <unk6:fillRef idx="0"/>
    <unk6:effectRef idx="0"/>
    <unk6:fontRef idx="minor">
      <a:schemeClr val="dk1"/>
    </unk6:fontRef>
    <unk6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unk6:spPr>
  </unk6:downBar>
  <unk6:dropLin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60000"/>
            <a:lumOff val="40000"/>
          </a:schemeClr>
        </a:solidFill>
        <a:prstDash val="dash"/>
      </a:ln>
    </unk6:spPr>
  </unk6:dropLine>
  <unk6:errorBar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75000"/>
            <a:lumOff val="25000"/>
          </a:schemeClr>
        </a:solidFill>
        <a:round/>
      </a:ln>
    </unk6:spPr>
  </unk6:errorBar>
  <unk6:floor>
    <unk6:lnRef idx="0"/>
    <unk6:fillRef idx="0"/>
    <unk6:effectRef idx="0"/>
    <unk6:fontRef idx="minor">
      <a:schemeClr val="tx2"/>
    </unk6:fontRef>
  </unk6:floor>
  <unk6:gridlineMajor>
    <unk6:lnRef idx="0"/>
    <unk6:fillRef idx="0"/>
    <unk6:effectRef idx="0"/>
    <unk6:fontRef idx="minor">
      <a:schemeClr val="tx2"/>
    </unk6:fontRef>
    <unk6:spPr>
      <a:ln w="9525" cap="flat" cmpd="sng" algn="ctr">
        <a:solidFill>
          <a:schemeClr val="tx2">
            <a:lumMod val="15000"/>
            <a:lumOff val="85000"/>
          </a:schemeClr>
        </a:solidFill>
        <a:round/>
      </a:ln>
    </unk6:spPr>
  </unk6:gridlineMajor>
  <unk6:gridlineMinor>
    <unk6:lnRef idx="0"/>
    <unk6:fillRef idx="0"/>
    <unk6:effectRef idx="0"/>
    <unk6:fontRef idx="minor">
      <a:schemeClr val="tx2"/>
    </unk6:fontRef>
    <unk6:spPr>
      <a:ln>
        <a:solidFill>
          <a:schemeClr val="tx2">
            <a:lumMod val="5000"/>
            <a:lumOff val="95000"/>
          </a:schemeClr>
        </a:solidFill>
      </a:ln>
    </unk6:spPr>
  </unk6:gridlineMinor>
  <unk6:hiLoLin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60000"/>
            <a:lumOff val="40000"/>
          </a:schemeClr>
        </a:solidFill>
        <a:prstDash val="dash"/>
      </a:ln>
    </unk6:spPr>
  </unk6:hiLoLine>
  <unk6:leaderLin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35000"/>
            <a:lumOff val="65000"/>
          </a:schemeClr>
        </a:solidFill>
      </a:ln>
    </unk6:spPr>
  </unk6:leaderLine>
  <unk6:legend>
    <unk6:lnRef idx="0"/>
    <unk6:fillRef idx="0"/>
    <unk6:effectRef idx="0"/>
    <unk6:fontRef idx="minor">
      <a:schemeClr val="tx2"/>
    </unk6:fontRef>
    <unk6:defRPr sz="900" kern="1200"/>
  </unk6:legend>
  <unk6:plotArea>
    <unk6:lnRef idx="0"/>
    <unk6:fillRef idx="0"/>
    <unk6:effectRef idx="0"/>
    <unk6:fontRef idx="minor">
      <a:schemeClr val="tx2"/>
    </unk6:fontRef>
  </unk6:plotArea>
  <unk6:plotArea3D>
    <unk6:lnRef idx="0"/>
    <unk6:fillRef idx="0"/>
    <unk6:effectRef idx="0"/>
    <unk6:fontRef idx="minor">
      <a:schemeClr val="tx2"/>
    </unk6:fontRef>
  </unk6:plotArea3D>
  <unk6:seriesAxis>
    <unk6:lnRef idx="0"/>
    <unk6:fillRef idx="0"/>
    <unk6:effectRef idx="0"/>
    <unk6:fontRef idx="minor">
      <a:schemeClr val="tx2"/>
    </unk6:fontRef>
    <unk6:spPr>
      <a:ln w="9525" cap="flat" cmpd="sng" algn="ctr">
        <a:solidFill>
          <a:schemeClr val="tx2">
            <a:lumMod val="15000"/>
            <a:lumOff val="85000"/>
          </a:schemeClr>
        </a:solidFill>
        <a:round/>
      </a:ln>
    </unk6:spPr>
    <unk6:defRPr sz="900" kern="1200"/>
  </unk6:seriesAxis>
  <unk6:seriesLin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60000"/>
            <a:lumOff val="40000"/>
          </a:schemeClr>
        </a:solidFill>
        <a:prstDash val="dash"/>
      </a:ln>
    </unk6:spPr>
  </unk6:seriesLine>
  <unk6:title>
    <unk6:lnRef idx="0"/>
    <unk6:fillRef idx="0"/>
    <unk6:effectRef idx="0"/>
    <unk6:fontRef idx="minor">
      <a:schemeClr val="tx2"/>
    </unk6:fontRef>
    <unk6:defRPr sz="1600" b="1" kern="1200"/>
  </unk6:title>
  <unk6:trendline>
    <unk6:lnRef idx="0">
      <unk6:styleClr val="auto"/>
    </unk6:lnRef>
    <unk6:fillRef idx="0"/>
    <unk6:effectRef idx="0"/>
    <unk6:fontRef idx="minor">
      <a:schemeClr val="tx2"/>
    </unk6:fontRef>
    <unk6:spPr>
      <a:ln w="19050" cap="rnd">
        <a:solidFill>
          <a:schemeClr val="phClr"/>
        </a:solidFill>
        <a:prstDash val="sysDash"/>
      </a:ln>
    </unk6:spPr>
  </unk6:trendline>
  <unk6:trendlineLabel>
    <unk6:lnRef idx="0"/>
    <unk6:fillRef idx="0"/>
    <unk6:effectRef idx="0"/>
    <unk6:fontRef idx="minor">
      <a:schemeClr val="tx2"/>
    </unk6:fontRef>
    <unk6:defRPr sz="900" kern="1200"/>
  </unk6:trendlineLabel>
  <unk6:upBar>
    <unk6:lnRef idx="0"/>
    <unk6:fillRef idx="0"/>
    <unk6:effectRef idx="0"/>
    <unk6:fontRef idx="minor">
      <a:schemeClr val="tx2"/>
    </unk6:fontRef>
    <unk6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unk6:spPr>
  </unk6:upBar>
  <unk6:valueAxis>
    <unk6:lnRef idx="0"/>
    <unk6:fillRef idx="0"/>
    <unk6:effectRef idx="0"/>
    <unk6:fontRef idx="minor">
      <a:schemeClr val="tx2"/>
    </unk6:fontRef>
    <unk6:defRPr sz="900" kern="1200"/>
  </unk6:valueAxis>
  <unk6:wall>
    <unk6:lnRef idx="0"/>
    <unk6:fillRef idx="0"/>
    <unk6:effectRef idx="0"/>
    <unk6:fontRef idx="minor">
      <a:schemeClr val="tx2"/>
    </unk6:fontRef>
  </unk6:wall>
</unk6:chartStyle>
</file>

<file path=xl/charts/style2.xml><?xml version="1.0" encoding="utf-8"?>
<unk6:chartStyle xmlns:unk6="http://schemas.microsoft.com/office/drawing/2012/chartStyle" xmlns:a="http://schemas.openxmlformats.org/drawingml/2006/main" id="207">
  <unk6:axisTitle>
    <unk6:lnRef idx="0"/>
    <unk6:fillRef idx="0"/>
    <unk6:effectRef idx="0"/>
    <unk6:fontRef idx="minor">
      <a:schemeClr val="tx2"/>
    </unk6:fontRef>
    <unk6:defRPr sz="900" b="1" kern="1200"/>
  </unk6:axisTitle>
  <unk6:categoryAxis>
    <unk6:lnRef idx="0"/>
    <unk6:fillRef idx="0"/>
    <unk6:effectRef idx="0"/>
    <unk6:fontRef idx="minor">
      <a:schemeClr val="tx2"/>
    </unk6:fontRef>
    <unk6:spPr>
      <a:ln w="9525" cap="flat" cmpd="sng" algn="ctr">
        <a:solidFill>
          <a:schemeClr val="tx2">
            <a:lumMod val="15000"/>
            <a:lumOff val="85000"/>
          </a:schemeClr>
        </a:solidFill>
        <a:round/>
      </a:ln>
    </unk6:spPr>
    <unk6:defRPr sz="900" kern="1200"/>
  </unk6:categoryAxis>
  <unk6:chartArea mods="allowNoFillOverride allowNoLineOverride">
    <unk6:lnRef idx="0"/>
    <unk6:fillRef idx="0"/>
    <unk6:effectRef idx="0"/>
    <unk6:fontRef idx="minor">
      <a:schemeClr val="tx2"/>
    </unk6:fontRef>
    <unk6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unk6:spPr>
    <unk6:defRPr sz="900" kern="1200"/>
  </unk6:chartArea>
  <unk6:dataLabel>
    <unk6:lnRef idx="0"/>
    <unk6:fillRef idx="0"/>
    <unk6:effectRef idx="0"/>
    <unk6:fontRef idx="minor">
      <a:schemeClr val="tx2"/>
    </unk6:fontRef>
    <unk6:defRPr sz="900" kern="1200"/>
  </unk6:dataLabel>
  <unk6:dataLabelCallout>
    <unk6:lnRef idx="0"/>
    <unk6:fillRef idx="0"/>
    <unk6:effectRef idx="0"/>
    <unk6:fontRef idx="minor">
      <a:schemeClr val="dk2">
        <a:lumMod val="75000"/>
      </a:schemeClr>
    </unk6:fontRef>
    <unk6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unk6:spPr>
    <unk6:defRPr sz="900" kern="1200"/>
    <unk6:bodyPr rot="0" spcFirstLastPara="1" vertOverflow="clip" horzOverflow="clip" vert="horz" wrap="square" lIns="36576" tIns="18288" rIns="36576" bIns="18288" anchor="ctr" anchorCtr="1">
      <a:spAutoFit/>
    </unk6:bodyPr>
  </unk6:dataLabelCallout>
  <unk6:dataPoint>
    <unk6:lnRef idx="0"/>
    <unk6:fillRef idx="3">
      <unk6:styleClr val="auto"/>
    </unk6:fillRef>
    <unk6:effectRef idx="2"/>
    <unk6:fontRef idx="minor">
      <a:schemeClr val="tx2"/>
    </unk6:fontRef>
  </unk6:dataPoint>
  <unk6:dataPoint3D>
    <unk6:lnRef idx="0"/>
    <unk6:fillRef idx="3">
      <unk6:styleClr val="auto"/>
    </unk6:fillRef>
    <unk6:effectRef idx="2"/>
    <unk6:fontRef idx="minor">
      <a:schemeClr val="tx2"/>
    </unk6:fontRef>
  </unk6:dataPoint3D>
  <unk6:dataPointLine>
    <unk6:lnRef idx="0">
      <unk6:styleClr val="auto"/>
    </unk6:lnRef>
    <unk6:fillRef idx="3"/>
    <unk6:effectRef idx="2"/>
    <unk6:fontRef idx="minor">
      <a:schemeClr val="tx2"/>
    </unk6:fontRef>
    <unk6:spPr>
      <a:ln w="31750" cap="rnd">
        <a:solidFill>
          <a:schemeClr val="phClr"/>
        </a:solidFill>
        <a:round/>
      </a:ln>
    </unk6:spPr>
  </unk6:dataPointLine>
  <unk6:dataPointMarker>
    <unk6:lnRef idx="0"/>
    <unk6:fillRef idx="3">
      <unk6:styleClr val="auto"/>
    </unk6:fillRef>
    <unk6:effectRef idx="2"/>
    <unk6:fontRef idx="minor">
      <a:schemeClr val="tx2"/>
    </unk6:fontRef>
    <unk6:spPr>
      <a:ln w="12700">
        <a:solidFill>
          <a:schemeClr val="lt2"/>
        </a:solidFill>
        <a:round/>
      </a:ln>
    </unk6:spPr>
  </unk6:dataPointMarker>
  <unk6:dataPointMarkerLayout symbol="circle" size="6"/>
  <unk6:dataPointWireframe>
    <unk6:lnRef idx="0">
      <unk6:styleClr val="auto"/>
    </unk6:lnRef>
    <unk6:fillRef idx="3"/>
    <unk6:effectRef idx="2"/>
    <unk6:fontRef idx="minor">
      <a:schemeClr val="tx2"/>
    </unk6:fontRef>
    <unk6:spPr>
      <a:ln w="9525" cap="rnd">
        <a:solidFill>
          <a:schemeClr val="phClr"/>
        </a:solidFill>
        <a:round/>
      </a:ln>
    </unk6:spPr>
  </unk6:dataPointWireframe>
  <unk6:dataTabl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15000"/>
            <a:lumOff val="85000"/>
          </a:schemeClr>
        </a:solidFill>
      </a:ln>
    </unk6:spPr>
    <unk6:defRPr sz="900" kern="1200"/>
  </unk6:dataTable>
  <unk6:downBar>
    <unk6:lnRef idx="0"/>
    <unk6:fillRef idx="0"/>
    <unk6:effectRef idx="0"/>
    <unk6:fontRef idx="minor">
      <a:schemeClr val="dk1"/>
    </unk6:fontRef>
    <unk6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unk6:spPr>
  </unk6:downBar>
  <unk6:dropLin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60000"/>
            <a:lumOff val="40000"/>
          </a:schemeClr>
        </a:solidFill>
        <a:prstDash val="dash"/>
      </a:ln>
    </unk6:spPr>
  </unk6:dropLine>
  <unk6:errorBar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75000"/>
            <a:lumOff val="25000"/>
          </a:schemeClr>
        </a:solidFill>
        <a:round/>
      </a:ln>
    </unk6:spPr>
  </unk6:errorBar>
  <unk6:floor>
    <unk6:lnRef idx="0"/>
    <unk6:fillRef idx="0"/>
    <unk6:effectRef idx="0"/>
    <unk6:fontRef idx="minor">
      <a:schemeClr val="tx2"/>
    </unk6:fontRef>
  </unk6:floor>
  <unk6:gridlineMajor>
    <unk6:lnRef idx="0"/>
    <unk6:fillRef idx="0"/>
    <unk6:effectRef idx="0"/>
    <unk6:fontRef idx="minor">
      <a:schemeClr val="tx2"/>
    </unk6:fontRef>
    <unk6:spPr>
      <a:ln w="9525" cap="flat" cmpd="sng" algn="ctr">
        <a:solidFill>
          <a:schemeClr val="tx2">
            <a:lumMod val="15000"/>
            <a:lumOff val="85000"/>
          </a:schemeClr>
        </a:solidFill>
        <a:round/>
      </a:ln>
    </unk6:spPr>
  </unk6:gridlineMajor>
  <unk6:gridlineMinor>
    <unk6:lnRef idx="0"/>
    <unk6:fillRef idx="0"/>
    <unk6:effectRef idx="0"/>
    <unk6:fontRef idx="minor">
      <a:schemeClr val="tx2"/>
    </unk6:fontRef>
    <unk6:spPr>
      <a:ln>
        <a:solidFill>
          <a:schemeClr val="tx2">
            <a:lumMod val="5000"/>
            <a:lumOff val="95000"/>
          </a:schemeClr>
        </a:solidFill>
      </a:ln>
    </unk6:spPr>
  </unk6:gridlineMinor>
  <unk6:hiLoLin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60000"/>
            <a:lumOff val="40000"/>
          </a:schemeClr>
        </a:solidFill>
        <a:prstDash val="dash"/>
      </a:ln>
    </unk6:spPr>
  </unk6:hiLoLine>
  <unk6:leaderLin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35000"/>
            <a:lumOff val="65000"/>
          </a:schemeClr>
        </a:solidFill>
      </a:ln>
    </unk6:spPr>
  </unk6:leaderLine>
  <unk6:legend>
    <unk6:lnRef idx="0"/>
    <unk6:fillRef idx="0"/>
    <unk6:effectRef idx="0"/>
    <unk6:fontRef idx="minor">
      <a:schemeClr val="tx2"/>
    </unk6:fontRef>
    <unk6:defRPr sz="900" kern="1200"/>
  </unk6:legend>
  <unk6:plotArea>
    <unk6:lnRef idx="0"/>
    <unk6:fillRef idx="0"/>
    <unk6:effectRef idx="0"/>
    <unk6:fontRef idx="minor">
      <a:schemeClr val="tx2"/>
    </unk6:fontRef>
  </unk6:plotArea>
  <unk6:plotArea3D>
    <unk6:lnRef idx="0"/>
    <unk6:fillRef idx="0"/>
    <unk6:effectRef idx="0"/>
    <unk6:fontRef idx="minor">
      <a:schemeClr val="tx2"/>
    </unk6:fontRef>
  </unk6:plotArea3D>
  <unk6:seriesAxis>
    <unk6:lnRef idx="0"/>
    <unk6:fillRef idx="0"/>
    <unk6:effectRef idx="0"/>
    <unk6:fontRef idx="minor">
      <a:schemeClr val="tx2"/>
    </unk6:fontRef>
    <unk6:spPr>
      <a:ln w="9525" cap="flat" cmpd="sng" algn="ctr">
        <a:solidFill>
          <a:schemeClr val="tx2">
            <a:lumMod val="15000"/>
            <a:lumOff val="85000"/>
          </a:schemeClr>
        </a:solidFill>
        <a:round/>
      </a:ln>
    </unk6:spPr>
    <unk6:defRPr sz="900" kern="1200"/>
  </unk6:seriesAxis>
  <unk6:seriesLine>
    <unk6:lnRef idx="0"/>
    <unk6:fillRef idx="0"/>
    <unk6:effectRef idx="0"/>
    <unk6:fontRef idx="minor">
      <a:schemeClr val="tx2"/>
    </unk6:fontRef>
    <unk6:spPr>
      <a:ln w="9525">
        <a:solidFill>
          <a:schemeClr val="tx2">
            <a:lumMod val="60000"/>
            <a:lumOff val="40000"/>
          </a:schemeClr>
        </a:solidFill>
        <a:prstDash val="dash"/>
      </a:ln>
    </unk6:spPr>
  </unk6:seriesLine>
  <unk6:title>
    <unk6:lnRef idx="0"/>
    <unk6:fillRef idx="0"/>
    <unk6:effectRef idx="0"/>
    <unk6:fontRef idx="minor">
      <a:schemeClr val="tx2"/>
    </unk6:fontRef>
    <unk6:defRPr sz="1600" b="1" kern="1200"/>
  </unk6:title>
  <unk6:trendline>
    <unk6:lnRef idx="0">
      <unk6:styleClr val="auto"/>
    </unk6:lnRef>
    <unk6:fillRef idx="0"/>
    <unk6:effectRef idx="0"/>
    <unk6:fontRef idx="minor">
      <a:schemeClr val="tx2"/>
    </unk6:fontRef>
    <unk6:spPr>
      <a:ln w="19050" cap="rnd">
        <a:solidFill>
          <a:schemeClr val="phClr"/>
        </a:solidFill>
        <a:prstDash val="sysDash"/>
      </a:ln>
    </unk6:spPr>
  </unk6:trendline>
  <unk6:trendlineLabel>
    <unk6:lnRef idx="0"/>
    <unk6:fillRef idx="0"/>
    <unk6:effectRef idx="0"/>
    <unk6:fontRef idx="minor">
      <a:schemeClr val="tx2"/>
    </unk6:fontRef>
    <unk6:defRPr sz="900" kern="1200"/>
  </unk6:trendlineLabel>
  <unk6:upBar>
    <unk6:lnRef idx="0"/>
    <unk6:fillRef idx="0"/>
    <unk6:effectRef idx="0"/>
    <unk6:fontRef idx="minor">
      <a:schemeClr val="tx2"/>
    </unk6:fontRef>
    <unk6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unk6:spPr>
  </unk6:upBar>
  <unk6:valueAxis>
    <unk6:lnRef idx="0"/>
    <unk6:fillRef idx="0"/>
    <unk6:effectRef idx="0"/>
    <unk6:fontRef idx="minor">
      <a:schemeClr val="tx2"/>
    </unk6:fontRef>
    <unk6:defRPr sz="900" kern="1200"/>
  </unk6:valueAxis>
  <unk6:wall>
    <unk6:lnRef idx="0"/>
    <unk6:fillRef idx="0"/>
    <unk6:effectRef idx="0"/>
    <unk6:fontRef idx="minor">
      <a:schemeClr val="tx2"/>
    </unk6:fontRef>
  </unk6:wall>
</unk6:chartStyl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Relationship Target="../media/image1.png" Type="http://schemas.openxmlformats.org/officeDocument/2006/relationships/image" Id="rId2"/></Relationships>
</file>

<file path=xl/drawings/_rels/drawing2.xml.rels><?xml version="1.0" ?><Relationships xmlns="http://schemas.openxmlformats.org/package/2006/relationships"><Relationship Target="../charts/chart2.xml" Type="http://schemas.openxmlformats.org/officeDocument/2006/relationships/chart" Id="rId1"/><Relationship Target="../media/image1.png" Type="http://schemas.openxmlformats.org/officeDocument/2006/relationships/image" Id="rId2"/></Relationships>
</file>

<file path=xl/drawings/drawing1.xml><?xml version="1.0" encoding="utf-8"?>
<xdr:wsDr xmlns:xdr="http://schemas.openxmlformats.org/drawingml/2006/spreadsheetDrawing" xmlns:a14="http://schemas.microsoft.com/office/drawing/2010/main" xmlns:a="http://schemas.openxmlformats.org/drawingml/2006/main" xmlns:unk4="http://schemas.microsoft.com/office/drawing/2014/main" xmlns:c="http://schemas.openxmlformats.org/drawingml/2006/chart" xmlns:r="http://schemas.openxmlformats.org/officeDocument/2006/relationships">
  <xdr:twoCellAnchor>
    <xdr:from>
      <xdr:col>8</xdr:col>
      <xdr:colOff>70771</xdr:colOff>
      <xdr:row>18</xdr:row>
      <xdr:rowOff>262604</xdr:rowOff>
    </xdr:from>
    <xdr:to>
      <xdr:col>16</xdr:col>
      <xdr:colOff>456343</xdr:colOff>
      <xdr:row>38</xdr:row>
      <xdr:rowOff>198692</xdr:rowOff>
    </xdr:to>
    <xdr:graphicFrame macro="">
      <xdr:nvGraphicFramePr>
        <xdr:cNvPr id="2" name="Диаграмма 1">
          <a:extLst>
            <a:ext uri="{FF2B5EF4-FFF2-40B4-BE49-F238E27FC236}">
              <unk4:creationId id="{EC83AA5C-75AF-5241-ACBE-C9E379B2C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>
    <xdr:from>
      <xdr:col>0</xdr:col>
      <xdr:colOff>76200</xdr:colOff>
      <xdr:row>1</xdr:row>
      <xdr:rowOff>43541</xdr:rowOff>
    </xdr:from>
    <xdr:ext cx="4419600" cy="7209903"/>
    <xdr:pic>
      <xdr:nvPicPr>
        <xdr:cNvPr descr="http://vmede.org/sait/content/Anatomija_stomat_kolesnikov_2010/1_files/mb4_014.png" id="3" name="Рисунок 2">
          <a:extLst>
            <a:ext uri="{FF2B5EF4-FFF2-40B4-BE49-F238E27FC236}">
              <unk4:creationId id="{1CAF7859-2B24-AE47-8811-64369D159863}"/>
            </a:ext>
          </a:extLst>
        </xdr:cNvPr>
        <xdr:cNvPicPr>
          <a:picLocks noChangeAspect="1" noChangeArrowheads="1"/>
        </xdr:cNvPicPr>
      </xdr:nvPicPr>
      <xdr:blipFill rotWithShape="1">
        <a:blip r:embed="rId2">
          <a:extLst>
            <a:ext uri="{28A0092B-C50C-407E-A947-70E740481C1C}">
              <a14:useLocalDpi val="0"/>
            </a:ext>
          </a:extLst>
        </a:blip>
        <a:srcRect l="55755" t="1075"/>
        <a:stretch/>
      </xdr:blipFill>
      <xdr:spPr bwMode="auto">
        <a:xfrm>
          <a:off x="76200" y="246741"/>
          <a:ext cx="4419600" cy="720990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1756228</xdr:colOff>
      <xdr:row>5</xdr:row>
      <xdr:rowOff>107042</xdr:rowOff>
    </xdr:from>
    <xdr:to>
      <xdr:col>1</xdr:col>
      <xdr:colOff>2064656</xdr:colOff>
      <xdr:row>5</xdr:row>
      <xdr:rowOff>397328</xdr:rowOff>
    </xdr:to>
    <xdr:sp macro="" textlink="">
      <xdr:nvSpPr>
        <xdr:cNvPr id="4" name="Знак умножения 3">
          <a:extLst>
            <a:ext uri="{FF2B5EF4-FFF2-40B4-BE49-F238E27FC236}">
              <unk4:creationId id="{62F30E22-F730-3348-947B-656D541A0F25}"/>
            </a:ext>
          </a:extLst>
        </xdr:cNvPr>
        <xdr:cNvSpPr/>
      </xdr:nvSpPr>
      <xdr:spPr>
        <a:xfrm>
          <a:off x="3864428" y="2139042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2211613</xdr:colOff>
      <xdr:row>5</xdr:row>
      <xdr:rowOff>16329</xdr:rowOff>
    </xdr:from>
    <xdr:to>
      <xdr:col>1</xdr:col>
      <xdr:colOff>2520041</xdr:colOff>
      <xdr:row>5</xdr:row>
      <xdr:rowOff>306615</xdr:rowOff>
    </xdr:to>
    <xdr:sp macro="" textlink="">
      <xdr:nvSpPr>
        <xdr:cNvPr id="5" name="Знак умножения 4">
          <a:extLst>
            <a:ext uri="{FF2B5EF4-FFF2-40B4-BE49-F238E27FC236}">
              <unk4:creationId id="{3DAA33E5-D3A4-3D45-AA58-A820F9CE34B8}"/>
            </a:ext>
          </a:extLst>
        </xdr:cNvPr>
        <xdr:cNvSpPr/>
      </xdr:nvSpPr>
      <xdr:spPr>
        <a:xfrm>
          <a:off x="4319813" y="2048329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524328</xdr:colOff>
      <xdr:row>4</xdr:row>
      <xdr:rowOff>301172</xdr:rowOff>
    </xdr:from>
    <xdr:to>
      <xdr:col>0</xdr:col>
      <xdr:colOff>832756</xdr:colOff>
      <xdr:row>5</xdr:row>
      <xdr:rowOff>48986</xdr:rowOff>
    </xdr:to>
    <xdr:sp macro="" textlink="">
      <xdr:nvSpPr>
        <xdr:cNvPr id="6" name="Знак умножения 5">
          <a:extLst>
            <a:ext uri="{FF2B5EF4-FFF2-40B4-BE49-F238E27FC236}">
              <unk4:creationId id="{00A61ED4-8E75-C04C-BE9C-62469100D230}"/>
            </a:ext>
          </a:extLst>
        </xdr:cNvPr>
        <xdr:cNvSpPr/>
      </xdr:nvSpPr>
      <xdr:spPr>
        <a:xfrm>
          <a:off x="524328" y="1875972"/>
          <a:ext cx="308428" cy="205014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422728</xdr:colOff>
      <xdr:row>5</xdr:row>
      <xdr:rowOff>175984</xdr:rowOff>
    </xdr:from>
    <xdr:to>
      <xdr:col>0</xdr:col>
      <xdr:colOff>731156</xdr:colOff>
      <xdr:row>6</xdr:row>
      <xdr:rowOff>19956</xdr:rowOff>
    </xdr:to>
    <xdr:sp macro="" textlink="">
      <xdr:nvSpPr>
        <xdr:cNvPr id="7" name="Знак умножения 6">
          <a:extLst>
            <a:ext uri="{FF2B5EF4-FFF2-40B4-BE49-F238E27FC236}">
              <unk4:creationId id="{D3E11296-30BF-9446-8C92-77EE1B66437D}"/>
            </a:ext>
          </a:extLst>
        </xdr:cNvPr>
        <xdr:cNvSpPr/>
      </xdr:nvSpPr>
      <xdr:spPr>
        <a:xfrm>
          <a:off x="422728" y="2207984"/>
          <a:ext cx="308428" cy="288472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903514</xdr:colOff>
      <xdr:row>6</xdr:row>
      <xdr:rowOff>391884</xdr:rowOff>
    </xdr:from>
    <xdr:to>
      <xdr:col>0</xdr:col>
      <xdr:colOff>1211942</xdr:colOff>
      <xdr:row>7</xdr:row>
      <xdr:rowOff>234040</xdr:rowOff>
    </xdr:to>
    <xdr:sp macro="" textlink="">
      <xdr:nvSpPr>
        <xdr:cNvPr id="8" name="Знак умножения 7">
          <a:extLst>
            <a:ext uri="{FF2B5EF4-FFF2-40B4-BE49-F238E27FC236}">
              <unk4:creationId id="{19F59DAD-AF01-BF49-B983-48061645044A}"/>
            </a:ext>
          </a:extLst>
        </xdr:cNvPr>
        <xdr:cNvSpPr/>
      </xdr:nvSpPr>
      <xdr:spPr>
        <a:xfrm>
          <a:off x="903514" y="2868384"/>
          <a:ext cx="308428" cy="28665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3184070</xdr:colOff>
      <xdr:row>4</xdr:row>
      <xdr:rowOff>90714</xdr:rowOff>
    </xdr:from>
    <xdr:to>
      <xdr:col>1</xdr:col>
      <xdr:colOff>3492498</xdr:colOff>
      <xdr:row>4</xdr:row>
      <xdr:rowOff>381000</xdr:rowOff>
    </xdr:to>
    <xdr:sp macro="" textlink="">
      <xdr:nvSpPr>
        <xdr:cNvPr id="9" name="Знак умножения 8">
          <a:extLst>
            <a:ext uri="{FF2B5EF4-FFF2-40B4-BE49-F238E27FC236}">
              <unk4:creationId id="{E02C31AE-8B50-C844-BCA0-E12207D72174}"/>
            </a:ext>
          </a:extLst>
        </xdr:cNvPr>
        <xdr:cNvSpPr/>
      </xdr:nvSpPr>
      <xdr:spPr>
        <a:xfrm>
          <a:off x="5152570" y="1665514"/>
          <a:ext cx="36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776514</xdr:colOff>
      <xdr:row>10</xdr:row>
      <xdr:rowOff>117927</xdr:rowOff>
    </xdr:from>
    <xdr:to>
      <xdr:col>0</xdr:col>
      <xdr:colOff>1084942</xdr:colOff>
      <xdr:row>10</xdr:row>
      <xdr:rowOff>408213</xdr:rowOff>
    </xdr:to>
    <xdr:sp macro="" textlink="">
      <xdr:nvSpPr>
        <xdr:cNvPr id="10" name="Знак умножения 9">
          <a:extLst>
            <a:ext uri="{FF2B5EF4-FFF2-40B4-BE49-F238E27FC236}">
              <unk4:creationId id="{88261D5C-53FB-354A-8384-9D901BA7C09F}"/>
            </a:ext>
          </a:extLst>
        </xdr:cNvPr>
        <xdr:cNvSpPr/>
      </xdr:nvSpPr>
      <xdr:spPr>
        <a:xfrm>
          <a:off x="776514" y="4270827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1712685</xdr:colOff>
      <xdr:row>14</xdr:row>
      <xdr:rowOff>30842</xdr:rowOff>
    </xdr:from>
    <xdr:to>
      <xdr:col>1</xdr:col>
      <xdr:colOff>2021113</xdr:colOff>
      <xdr:row>14</xdr:row>
      <xdr:rowOff>321128</xdr:rowOff>
    </xdr:to>
    <xdr:sp macro="" textlink="">
      <xdr:nvSpPr>
        <xdr:cNvPr id="11" name="Знак умножения 10">
          <a:extLst>
            <a:ext uri="{FF2B5EF4-FFF2-40B4-BE49-F238E27FC236}">
              <unk4:creationId id="{D13F9AEB-9D50-7F4F-8DFA-C6984A56D767}"/>
            </a:ext>
          </a:extLst>
        </xdr:cNvPr>
        <xdr:cNvSpPr/>
      </xdr:nvSpPr>
      <xdr:spPr>
        <a:xfrm>
          <a:off x="3820885" y="5555342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326571</xdr:colOff>
      <xdr:row>7</xdr:row>
      <xdr:rowOff>119740</xdr:rowOff>
    </xdr:from>
    <xdr:to>
      <xdr:col>0</xdr:col>
      <xdr:colOff>634999</xdr:colOff>
      <xdr:row>8</xdr:row>
      <xdr:rowOff>38097</xdr:rowOff>
    </xdr:to>
    <xdr:sp macro="" textlink="">
      <xdr:nvSpPr>
        <xdr:cNvPr id="12" name="Знак умножения 11">
          <a:extLst>
            <a:ext uri="{FF2B5EF4-FFF2-40B4-BE49-F238E27FC236}">
              <unk4:creationId id="{F192CC73-C552-F04F-B8F5-7B65EF84CABA}"/>
            </a:ext>
          </a:extLst>
        </xdr:cNvPr>
        <xdr:cNvSpPr/>
      </xdr:nvSpPr>
      <xdr:spPr>
        <a:xfrm>
          <a:off x="326571" y="3040740"/>
          <a:ext cx="308428" cy="286657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14="http://schemas.microsoft.com/office/drawing/2010/main" xmlns:a="http://schemas.openxmlformats.org/drawingml/2006/main" xmlns:unk4="http://schemas.microsoft.com/office/drawing/2014/main" xmlns:c="http://schemas.openxmlformats.org/drawingml/2006/chart" xmlns:r="http://schemas.openxmlformats.org/officeDocument/2006/relationships">
  <xdr:twoCellAnchor>
    <xdr:from>
      <xdr:col>8</xdr:col>
      <xdr:colOff>195453</xdr:colOff>
      <xdr:row>16</xdr:row>
      <xdr:rowOff>248126</xdr:rowOff>
    </xdr:from>
    <xdr:to>
      <xdr:col>16</xdr:col>
      <xdr:colOff>312515</xdr:colOff>
      <xdr:row>38</xdr:row>
      <xdr:rowOff>55816</xdr:rowOff>
    </xdr:to>
    <xdr:graphicFrame macro="">
      <xdr:nvGraphicFramePr>
        <xdr:cNvPr id="2" name="Диаграмма 1">
          <a:extLst>
            <a:ext uri="{FF2B5EF4-FFF2-40B4-BE49-F238E27FC236}">
              <unk4:creationId id="{2F3F2260-DB94-0849-8E86-80B18E3C2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>
    <xdr:from>
      <xdr:col>0</xdr:col>
      <xdr:colOff>68942</xdr:colOff>
      <xdr:row>1</xdr:row>
      <xdr:rowOff>52388</xdr:rowOff>
    </xdr:from>
    <xdr:ext cx="4753429" cy="6923587"/>
    <xdr:pic>
      <xdr:nvPicPr>
        <xdr:cNvPr descr="http://vmede.org/sait/content/Anatomija_stomat_kolesnikov_2010/1_files/mb4_014.png" id="3" name="Рисунок 2">
          <a:extLst>
            <a:ext uri="{FF2B5EF4-FFF2-40B4-BE49-F238E27FC236}">
              <unk4:creationId id="{BEF60028-3219-2B42-8A0B-B838B3CBC055}"/>
            </a:ext>
          </a:extLst>
        </xdr:cNvPr>
        <xdr:cNvPicPr>
          <a:picLocks noChangeAspect="1" noChangeArrowheads="1"/>
        </xdr:cNvPicPr>
      </xdr:nvPicPr>
      <xdr:blipFill rotWithShape="1">
        <a:blip r:embed="rId2">
          <a:extLst>
            <a:ext uri="{28A0092B-C50C-407E-A947-70E740481C1C}">
              <a14:useLocalDpi val="0"/>
            </a:ext>
          </a:extLst>
        </a:blip>
        <a:srcRect l="6278" t="271" r="48700" b="784"/>
        <a:stretch/>
      </xdr:blipFill>
      <xdr:spPr bwMode="auto">
        <a:xfrm>
          <a:off x="68942" y="255588"/>
          <a:ext cx="4753429" cy="692358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2287814</xdr:colOff>
      <xdr:row>4</xdr:row>
      <xdr:rowOff>302761</xdr:rowOff>
    </xdr:from>
    <xdr:to>
      <xdr:col>1</xdr:col>
      <xdr:colOff>2596242</xdr:colOff>
      <xdr:row>5</xdr:row>
      <xdr:rowOff>135847</xdr:rowOff>
    </xdr:to>
    <xdr:sp macro="" textlink="">
      <xdr:nvSpPr>
        <xdr:cNvPr id="4" name="Знак умножения 3">
          <a:extLst>
            <a:ext uri="{FF2B5EF4-FFF2-40B4-BE49-F238E27FC236}">
              <unk4:creationId id="{0B1501C9-92DC-5548-A513-5123CF4A1D64}"/>
            </a:ext>
          </a:extLst>
        </xdr:cNvPr>
        <xdr:cNvSpPr/>
      </xdr:nvSpPr>
      <xdr:spPr>
        <a:xfrm>
          <a:off x="4396014" y="2017261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798285</xdr:colOff>
      <xdr:row>6</xdr:row>
      <xdr:rowOff>320904</xdr:rowOff>
    </xdr:from>
    <xdr:to>
      <xdr:col>0</xdr:col>
      <xdr:colOff>1106713</xdr:colOff>
      <xdr:row>7</xdr:row>
      <xdr:rowOff>166690</xdr:rowOff>
    </xdr:to>
    <xdr:sp macro="" textlink="">
      <xdr:nvSpPr>
        <xdr:cNvPr id="5" name="Знак умножения 4">
          <a:extLst>
            <a:ext uri="{FF2B5EF4-FFF2-40B4-BE49-F238E27FC236}">
              <unk4:creationId id="{46833E6C-FD56-154F-B1AE-3DA1B45541B0}"/>
            </a:ext>
          </a:extLst>
        </xdr:cNvPr>
        <xdr:cNvSpPr/>
      </xdr:nvSpPr>
      <xdr:spPr>
        <a:xfrm>
          <a:off x="798285" y="2987904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1848757</xdr:colOff>
      <xdr:row>4</xdr:row>
      <xdr:rowOff>420691</xdr:rowOff>
    </xdr:from>
    <xdr:to>
      <xdr:col>1</xdr:col>
      <xdr:colOff>2157185</xdr:colOff>
      <xdr:row>5</xdr:row>
      <xdr:rowOff>253777</xdr:rowOff>
    </xdr:to>
    <xdr:sp macro="" textlink="">
      <xdr:nvSpPr>
        <xdr:cNvPr id="6" name="Знак умножения 5">
          <a:extLst>
            <a:ext uri="{FF2B5EF4-FFF2-40B4-BE49-F238E27FC236}">
              <unk4:creationId id="{30B59A9E-95B1-C346-AD0C-6022E627243B}"/>
            </a:ext>
          </a:extLst>
        </xdr:cNvPr>
        <xdr:cNvSpPr/>
      </xdr:nvSpPr>
      <xdr:spPr>
        <a:xfrm>
          <a:off x="3956957" y="2135191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1751239</xdr:colOff>
      <xdr:row>12</xdr:row>
      <xdr:rowOff>329523</xdr:rowOff>
    </xdr:from>
    <xdr:to>
      <xdr:col>1</xdr:col>
      <xdr:colOff>2059667</xdr:colOff>
      <xdr:row>13</xdr:row>
      <xdr:rowOff>136756</xdr:rowOff>
    </xdr:to>
    <xdr:sp macro="" textlink="">
      <xdr:nvSpPr>
        <xdr:cNvPr id="7" name="Знак умножения 6">
          <a:extLst>
            <a:ext uri="{FF2B5EF4-FFF2-40B4-BE49-F238E27FC236}">
              <unk4:creationId id="{8456BFFE-BE88-1447-9CC8-6DDC67010C60}"/>
            </a:ext>
          </a:extLst>
        </xdr:cNvPr>
        <xdr:cNvSpPr/>
      </xdr:nvSpPr>
      <xdr:spPr>
        <a:xfrm>
          <a:off x="3862614" y="5838148"/>
          <a:ext cx="308428" cy="283483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348343</xdr:colOff>
      <xdr:row>5</xdr:row>
      <xdr:rowOff>83235</xdr:rowOff>
    </xdr:from>
    <xdr:to>
      <xdr:col>0</xdr:col>
      <xdr:colOff>656771</xdr:colOff>
      <xdr:row>5</xdr:row>
      <xdr:rowOff>375335</xdr:rowOff>
    </xdr:to>
    <xdr:sp macro="" textlink="">
      <xdr:nvSpPr>
        <xdr:cNvPr id="8" name="Знак умножения 7">
          <a:extLst>
            <a:ext uri="{FF2B5EF4-FFF2-40B4-BE49-F238E27FC236}">
              <unk4:creationId id="{D895A688-F3C7-F044-BA8B-3E16672016DB}"/>
            </a:ext>
          </a:extLst>
        </xdr:cNvPr>
        <xdr:cNvSpPr/>
      </xdr:nvSpPr>
      <xdr:spPr>
        <a:xfrm>
          <a:off x="348343" y="2254935"/>
          <a:ext cx="308428" cy="292100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243115</xdr:colOff>
      <xdr:row>7</xdr:row>
      <xdr:rowOff>23362</xdr:rowOff>
    </xdr:from>
    <xdr:to>
      <xdr:col>0</xdr:col>
      <xdr:colOff>551543</xdr:colOff>
      <xdr:row>7</xdr:row>
      <xdr:rowOff>313648</xdr:rowOff>
    </xdr:to>
    <xdr:sp macro="" textlink="">
      <xdr:nvSpPr>
        <xdr:cNvPr id="9" name="Знак умножения 8">
          <a:extLst>
            <a:ext uri="{FF2B5EF4-FFF2-40B4-BE49-F238E27FC236}">
              <unk4:creationId id="{F330B42E-6623-2D48-86B8-A42C4F3CD73E}"/>
            </a:ext>
          </a:extLst>
        </xdr:cNvPr>
        <xdr:cNvSpPr/>
      </xdr:nvSpPr>
      <xdr:spPr>
        <a:xfrm>
          <a:off x="243115" y="3134862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738415</xdr:colOff>
      <xdr:row>9</xdr:row>
      <xdr:rowOff>388034</xdr:rowOff>
    </xdr:from>
    <xdr:to>
      <xdr:col>0</xdr:col>
      <xdr:colOff>1046843</xdr:colOff>
      <xdr:row>10</xdr:row>
      <xdr:rowOff>201162</xdr:rowOff>
    </xdr:to>
    <xdr:sp macro="" textlink="">
      <xdr:nvSpPr>
        <xdr:cNvPr id="10" name="Знак умножения 9">
          <a:extLst>
            <a:ext uri="{FF2B5EF4-FFF2-40B4-BE49-F238E27FC236}">
              <unk4:creationId id="{91D5B813-AD95-5A4F-B64D-7973E245907C}"/>
            </a:ext>
          </a:extLst>
        </xdr:cNvPr>
        <xdr:cNvSpPr/>
      </xdr:nvSpPr>
      <xdr:spPr>
        <a:xfrm>
          <a:off x="738415" y="4426634"/>
          <a:ext cx="308428" cy="295728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2013 - 2022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Relationship Target="../drawings/drawing1.xml" Type="http://schemas.openxmlformats.org/officeDocument/2006/relationships/drawing" Id="rId2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Relationship Target="../drawings/drawing2.xml" Type="http://schemas.openxmlformats.org/officeDocument/2006/relationships/drawing" Id="rId2"/></Relationships>
</file>

<file path=xl/worksheets/sheet1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EBEFDC63-5088-3A45-AC0F-7F3ECCF4C8F5}">
  <s:dimension ref="C1:R23"/>
  <s:sheetViews>
    <s:sheetView tabSelected="0" topLeftCell="A2" zoomScale="80" zoomScaleNormal="80" workbookViewId="0">
      <s:selection activeCell="Q3" sqref="Q3"/>
    </s:sheetView>
  </s:sheetViews>
  <s:sheetFormatPr x14ac:dyDescent="0.2" baseColWidth="10" defaultColWidth="8.832" defaultRowHeight="15"/>
  <s:cols>
    <s:col min="1" max="1" width="27.664" style="1" customWidth="1"/>
    <s:col min="2" max="2" width="40" style="1" customWidth="1"/>
    <s:col min="3" max="3" width="20.832" style="1" customWidth="1"/>
    <s:col min="4" max="8" width="12.164" style="1" customWidth="1"/>
    <s:col min="9" max="9" width="15.164" style="1" customWidth="1"/>
    <s:col min="10" max="10" width="8.832" style="1"/>
    <s:col min="11" max="12" width="8.832" style="1" customWidth="1"/>
    <s:col min="13" max="13" width="8.832" style="1"/>
    <s:col min="14" max="14" width="9.664" style="1" customWidth="1"/>
    <s:col min="15" max="15" width="11.164" style="1" customWidth="1"/>
    <s:col min="16" max="16384" width="8.832" style="1"/>
  </s:cols>
  <s:sheetData>
    <s:row x14ac:dyDescent="0.25" r="1" spans="3:18" ht="16" thickBot="1"/>
    <s:row x14ac:dyDescent="0.25" r="2" spans="3:18" ht="41" customHeight="1" thickBot="1">
      <s:c r="C2" s="71" t="s">
        <s:v>26</s:v>
      </s:c>
      <s:c r="D2" s="72"/>
      <s:c r="E2" s="72"/>
      <s:c r="F2" s="72"/>
      <s:c r="G2" s="72"/>
      <s:c r="H2" s="72"/>
      <s:c r="I2" s="72"/>
      <s:c r="J2" s="73"/>
      <s:c r="K2" s="38"/>
      <s:c r="L2" s="38"/>
      <s:c r="M2" s="38"/>
      <s:c r="N2" s="38"/>
      <s:c r="O2" s="38"/>
      <s:c r="P2" s="38"/>
      <s:c r="Q2" s="38"/>
      <s:c r="R2" s="38"/>
    </s:row>
    <s:row x14ac:dyDescent="0.25" r="3" spans="3:18" ht="32" customHeight="1" thickBot="1">
      <s:c r="C3" s="4" t="s">
        <s:v>2</s:v>
      </s:c>
      <s:c r="D3" s="5">
        <s:v>45399</s:v>
      </s:c>
      <s:c r="E3" s="6"/>
      <s:c r="F3" s="5"/>
      <s:c r="G3" s="5"/>
      <s:c r="H3" s="6"/>
      <s:c r="I3" s="7" t="s">
        <s:v>3</s:v>
      </s:c>
      <s:c r="J3" s="8">
        <s:v>185</s:v>
      </s:c>
      <s:c r="K3" s="2"/>
      <s:c r="L3" s="2"/>
      <s:c r="M3" s="38"/>
      <s:c r="N3" s="38"/>
      <s:c r="O3" s="38"/>
      <s:c r="P3" s="38"/>
      <s:c r="Q3" s="38"/>
      <s:c r="R3" s="38"/>
    </s:row>
    <s:row x14ac:dyDescent="0.2" r="4" spans="3:18" ht="35" customHeight="1">
      <s:c r="C4" s="9" t="s">
        <s:v>5</s:v>
      </s:c>
      <s:c r="D4" s="65">
        <s:v>10.5</s:v>
      </s:c>
      <s:c r="E4" s="10">
        <s:v>8</s:v>
      </s:c>
      <s:c r="F4" s="10"/>
      <s:c r="G4" s="11"/>
      <s:c r="H4" s="10"/>
      <s:c r="I4" s="7" t="s">
        <s:v>6</s:v>
      </s:c>
      <s:c r="J4" s="8">
        <s:v>1.85</s:v>
      </s:c>
      <s:c r="K4" s="2"/>
      <s:c r="L4" s="2"/>
      <s:c r="M4" s="38"/>
      <s:c r="N4" s="38"/>
      <s:c r="O4" s="38"/>
      <s:c r="P4" s="38"/>
      <s:c r="Q4" s="38"/>
      <s:c r="R4" s="38"/>
    </s:row>
    <s:row x14ac:dyDescent="0.2" r="5" spans="3:18" ht="36.5" customHeight="1">
      <s:c r="C5" s="9" t="s">
        <s:v>8</s:v>
      </s:c>
      <s:c r="D5" s="66">
        <s:v>16</s:v>
      </s:c>
      <s:c r="E5" s="12">
        <s:v>15</s:v>
      </s:c>
      <s:c r="F5" s="12"/>
      <s:c r="G5" s="13"/>
      <s:c r="H5" s="12"/>
      <s:c r="I5" s="7" t="s">
        <s:v>9</s:v>
      </s:c>
      <s:c r="J5" s="8">
        <s:v>39</s:v>
      </s:c>
      <s:c r="K5" s="2"/>
      <s:c r="L5" s="2"/>
      <s:c r="M5" s="38"/>
      <s:c r="N5" s="38"/>
      <s:c r="O5" s="14"/>
      <s:c r="P5" s="15"/>
      <s:c r="Q5" s="15"/>
      <s:c r="R5" s="15"/>
    </s:row>
    <s:row x14ac:dyDescent="0.2" r="6" spans="3:18" ht="35.5" customHeight="1">
      <s:c r="C6" s="9" t="s">
        <s:v>10</s:v>
      </s:c>
      <s:c r="D6" s="66">
        <s:v>18</s:v>
      </s:c>
      <s:c r="E6" s="12">
        <s:v>15</s:v>
      </s:c>
      <s:c r="F6" s="12"/>
      <s:c r="G6" s="13"/>
      <s:c r="H6" s="12"/>
      <s:c r="I6" s="16" t="s">
        <s:v>11</s:v>
      </s:c>
      <s:c r="J6" s="17">
        <s:v>86.2</s:v>
      </s:c>
      <s:c r="K6" s="17">
        <s:v>86</s:v>
      </s:c>
      <s:c r="L6" s="17"/>
      <s:c r="M6" s="17"/>
      <s:c r="N6" s="17"/>
      <s:c r="O6" s="39"/>
      <s:c r="P6" s="15"/>
      <s:c r="Q6" s="15"/>
      <s:c r="R6" s="15"/>
    </s:row>
    <s:row x14ac:dyDescent="0.25" r="7" spans="3:18" ht="35" customHeight="1" thickBot="1">
      <s:c r="C7" s="9" t="s">
        <s:v>27</s:v>
      </s:c>
      <s:c r="D7" s="66">
        <s:v>14</s:v>
      </s:c>
      <s:c r="E7" s="12">
        <s:v>10</s:v>
      </s:c>
      <s:c r="F7" s="12"/>
      <s:c r="G7" s="13"/>
      <s:c r="H7" s="12"/>
      <s:c r="I7" s="20" t="s">
        <s:v>13</s:v>
      </s:c>
      <s:c r="J7" s="21">
        <s:f>SQRT((J3*J6)/3600)</s:f>
        <s:v>2.1046905288479403</s:v>
      </s:c>
      <s:c r="K7" s="21">
        <s:f>SQRT((J3*K6)/3600)</s:f>
        <s:v>2.102247474595806</s:v>
      </s:c>
      <s:c r="L7" s="21">
        <s:f>SQRT((J3*L6)/3600)</s:f>
        <s:v>0</s:v>
      </s:c>
      <s:c r="M7" s="21">
        <s:f>SQRT((J3*M6)/3600)</s:f>
        <s:v>0</s:v>
      </s:c>
      <s:c r="N7" s="21">
        <s:f>SQRT((J4*N6)/3600)</s:f>
        <s:v>0</s:v>
      </s:c>
      <s:c r="O7" s="39"/>
      <s:c r="P7" s="15"/>
      <s:c r="Q7" s="15"/>
      <s:c r="R7" s="15"/>
    </s:row>
    <s:row x14ac:dyDescent="0.2" r="8" spans="3:18" ht="29.5" customHeight="1">
      <s:c r="C8" s="9" t="s">
        <s:v>12</s:v>
      </s:c>
      <s:c r="D8" s="66">
        <s:v>20</s:v>
      </s:c>
      <s:c r="E8" s="12">
        <s:v>19</s:v>
      </s:c>
      <s:c r="F8" s="12"/>
      <s:c r="G8" s="13"/>
      <s:c r="H8" s="12"/>
      <s:c r="I8" s="40"/>
      <s:c r="J8" s="40"/>
      <s:c r="K8" s="38"/>
      <s:c r="L8" s="39"/>
      <s:c r="M8" s="74"/>
      <s:c r="N8" s="74"/>
      <s:c r="O8" s="39"/>
      <s:c r="P8" s="15"/>
      <s:c r="Q8" s="15"/>
      <s:c r="R8" s="15"/>
    </s:row>
    <s:row x14ac:dyDescent="0.2" r="9" spans="3:18" ht="36.5" customHeight="1">
      <s:c r="C9" s="9" t="s">
        <s:v>14</s:v>
      </s:c>
      <s:c r="D9" s="66">
        <s:v>22</s:v>
      </s:c>
      <s:c r="E9" s="12">
        <s:v>22</s:v>
      </s:c>
      <s:c r="F9" s="12"/>
      <s:c r="G9" s="13"/>
      <s:c r="H9" s="12"/>
      <s:c r="I9" s="40"/>
      <s:c r="J9" s="40"/>
      <s:c r="K9" s="38"/>
      <s:c r="L9" s="39"/>
      <s:c r="M9" s="39"/>
      <s:c r="N9" s="39"/>
      <s:c r="O9" s="39"/>
      <s:c r="P9" s="15"/>
      <s:c r="Q9" s="15"/>
      <s:c r="R9" s="15"/>
    </s:row>
    <s:row x14ac:dyDescent="0.2" r="10" spans="3:18" ht="32.5" customHeight="1">
      <s:c r="C10" s="9" t="s">
        <s:v>15</s:v>
      </s:c>
      <s:c r="D10" s="66">
        <s:v>29</s:v>
      </s:c>
      <s:c r="E10" s="12">
        <s:v>26</s:v>
      </s:c>
      <s:c r="F10" s="12"/>
      <s:c r="G10" s="13"/>
      <s:c r="H10" s="12"/>
      <s:c r="I10" s="40"/>
      <s:c r="J10" s="40"/>
      <s:c r="K10" s="38"/>
      <s:c r="L10" s="39"/>
      <s:c r="M10" s="39"/>
      <s:c r="N10" s="39"/>
      <s:c r="O10" s="39"/>
      <s:c r="P10" s="15"/>
      <s:c r="Q10" s="15"/>
      <s:c r="R10" s="15"/>
    </s:row>
    <s:row x14ac:dyDescent="0.25" r="11" spans="3:18" ht="33.5" customHeight="1" thickBot="1">
      <s:c r="C11" s="24" t="s">
        <s:v>16</s:v>
      </s:c>
      <s:c r="D11" s="67">
        <s:v>16</s:v>
      </s:c>
      <s:c r="E11" s="25">
        <s:v>13</s:v>
      </s:c>
      <s:c r="F11" s="25"/>
      <s:c r="G11" s="26"/>
      <s:c r="H11" s="25"/>
      <s:c r="I11" s="40"/>
      <s:c r="J11" s="40"/>
      <s:c r="K11" s="38"/>
      <s:c r="L11" s="39"/>
      <s:c r="M11" s="41">
        <s:f>SUM(D4:D11)/16</s:f>
        <s:v>9.09375</s:v>
      </s:c>
      <s:c r="N11" s="41">
        <s:f>M11*J7*1.3</s:f>
        <s:v>24.881388345724243</s:v>
      </s:c>
      <s:c r="O11" s="38"/>
    </s:row>
    <s:row x14ac:dyDescent="0.25" r="12" spans="3:18" ht="42" customHeight="1" thickBot="1">
      <s:c r="C12" s="28" t="s">
        <s:v>17</s:v>
      </s:c>
      <s:c r="D12" s="29">
        <s:f>SUM(D4:D11)</s:f>
        <s:v>145.5</s:v>
      </s:c>
      <s:c r="E12" s="29">
        <s:f>SUM(E4:E11)</s:f>
        <s:v>128</s:v>
      </s:c>
      <s:c r="F12" s="29">
        <s:f>SUM(F4:F11)</s:f>
        <s:v>0</s:v>
      </s:c>
      <s:c r="G12" s="29">
        <s:f>SUM(G4:G11)</s:f>
        <s:v>0</s:v>
      </s:c>
      <s:c r="H12" s="29">
        <s:f>SUM(H4:H11)</s:f>
        <s:v>0</s:v>
      </s:c>
      <s:c r="I12" s="40"/>
      <s:c r="J12" s="40"/>
      <s:c r="K12" s="38"/>
      <s:c r="L12" s="39"/>
      <s:c r="M12" s="41">
        <s:f>SUM(E4:E11)/16</s:f>
        <s:v>8</s:v>
      </s:c>
      <s:c r="N12" s="41">
        <s:f>M12*J7*1.3</s:f>
        <s:v>21.888781500018581</s:v>
      </s:c>
      <s:c r="O12" s="38"/>
    </s:row>
    <s:row x14ac:dyDescent="0.25" r="13" spans="3:18" ht="33.5" customHeight="1" thickBot="1">
      <s:c r="C13" s="42" t="s">
        <s:v>18</s:v>
      </s:c>
      <s:c r="D13" s="43">
        <s:f validation_="true">(N11*100)/J6</s:f>
        <s:v>28.8647196586128</s:v>
      </s:c>
      <s:c r="E13" s="43">
        <s:f>(N12*100)/K6</s:f>
        <s:v>25.452071511649514</s:v>
      </s:c>
      <s:c r="F13" s="43" t="e">
        <s:f>(N13*100)/L6</s:f>
        <s:v>#DIV/0!</s:v>
      </s:c>
      <s:c r="G13" s="43" t="e">
        <s:f>(N15*100)/M6</s:f>
        <s:v>#DIV/0!</s:v>
      </s:c>
      <s:c r="H13" s="43" t="e">
        <s:f>(N16*100)/N6</s:f>
        <s:v>#DIV/0!</s:v>
      </s:c>
      <s:c r="I13" s="40"/>
      <s:c r="J13" s="40"/>
      <s:c r="K13" s="38"/>
      <s:c r="L13" s="38"/>
      <s:c r="M13" s="41">
        <s:f>F12/16</s:f>
        <s:v>0</s:v>
      </s:c>
      <s:c r="N13" s="41">
        <s:f>M13*J7*1.3</s:f>
        <s:v>0</s:v>
      </s:c>
      <s:c r="O13" s="38"/>
    </s:row>
    <s:row x14ac:dyDescent="0.25" r="14" spans="3:18" ht="33.5" customHeight="1" thickBot="1">
      <s:c r="C14" s="58" t="s">
        <s:v>31</s:v>
      </s:c>
      <s:c r="D14" s="64">
        <s:f validation_="true">D13*J6/100</s:f>
        <s:v>24.8813883457242</s:v>
      </s:c>
      <s:c r="E14" s="64">
        <s:f validation_="true">E13*K6/100</s:f>
        <s:v>21.888781500018581</s:v>
      </s:c>
      <s:c r="F14" s="64" t="e">
        <s:f validation_="true">F13*L6/100</s:f>
        <s:v>#DIV/0!</s:v>
      </s:c>
      <s:c r="G14" s="64" t="e">
        <s:f validation_="true">G13*M6/100</s:f>
        <s:v>#DIV/0!</s:v>
      </s:c>
      <s:c r="H14" s="64" t="e">
        <s:f validation_="true">H13*N6/100</s:f>
        <s:v>#DIV/0!</s:v>
      </s:c>
      <s:c r="I14" s="40"/>
      <s:c r="J14" s="40"/>
      <s:c r="K14" s="38"/>
      <s:c r="L14" s="38"/>
      <s:c r="M14" s="41"/>
      <s:c r="N14" s="41"/>
      <s:c r="O14" s="38"/>
    </s:row>
    <s:row x14ac:dyDescent="0.25" r="15" spans="3:18" ht="45" customHeight="1" thickBot="1">
      <s:c r="C15" s="44" t="s">
        <s:v>19</s:v>
      </s:c>
      <s:c r="D15" s="45">
        <s:f>J4*(0.00088*POWER(D16-D10/10,2)+0.00744*POWER(D18-D6/10,2)+0.00441*POWER(D17-D11/10,2))+2.4*1-0.048*J5+0+7.8</s:f>
        <s:v>38.938532900000006</s:v>
      </s:c>
      <s:c r="E15" s="45">
        <s:f>J4*(0.00088*POWER(E16-E10/10,2)+0.00744*POWER(E18-E6/10,2)+0.00441*POWER(E17-E11/10,2))+2.4*1-0.048*J5+0+7.8</s:f>
        <s:v>39.443404745000002</s:v>
      </s:c>
      <s:c r="F15" s="45">
        <s:f>J4*(0.00088*POWER(F16-F10/10,2)+0.00744*POWER(F18-F6/10,2)+0.00441*POWER(F17-F11/10,2))+2.4*1-0.048*J5+0+7.8</s:f>
        <s:v>8.3279999999999994</s:v>
      </s:c>
      <s:c r="G15" s="45">
        <s:f>J4*(0.00088*POWER(G16-G10/10,2)+0.00744*POWER(G18-G6/10,2)+0.00441*POWER(G17-G11/10,2))+2.4*1-0.048*J5+0+7.8</s:f>
        <s:v>8.3279999999999994</s:v>
      </s:c>
      <s:c r="H15" s="45">
        <s:f>J4*(0.00088*POWER(H16-H10/10,2)+0.00744*POWER(H18-H6/10,2)+0.00441*POWER(H17-H11/10,2))+2.4*1-0.048*J5+0+7.8</s:f>
        <s:v>8.3279999999999994</s:v>
      </s:c>
      <s:c r="I15" s="40"/>
      <s:c r="J15" s="40"/>
      <s:c r="K15" s="38"/>
      <s:c r="L15" s="38"/>
      <s:c r="M15" s="41">
        <s:f>G12/16</s:f>
        <s:v>0</s:v>
      </s:c>
      <s:c r="N15" s="41">
        <s:f>M15*J7*1.3</s:f>
        <s:v>0</s:v>
      </s:c>
      <s:c r="O15" s="34"/>
    </s:row>
    <s:row x14ac:dyDescent="0.2" r="16" spans="3:18" ht="32.5" customHeight="1">
      <s:c r="C16" s="46" t="s">
        <s:v>28</s:v>
      </s:c>
      <s:c r="D16" s="68">
        <s:v>59.5</s:v>
      </s:c>
      <s:c r="E16" s="68">
        <s:v>59.5</s:v>
      </s:c>
      <s:c r="F16" s="47"/>
      <s:c r="G16" s="47"/>
      <s:c r="H16" s="48"/>
      <s:c r="I16" s="40"/>
      <s:c r="J16" s="40"/>
      <s:c r="K16" s="38"/>
      <s:c r="L16" s="38"/>
      <s:c r="M16" s="41">
        <s:f>H12/16</s:f>
        <s:v>0</s:v>
      </s:c>
      <s:c r="N16" s="41">
        <s:f>M16*J7*1.3</s:f>
        <s:v>0</s:v>
      </s:c>
      <s:c r="O16" s="34"/>
    </s:row>
    <s:row x14ac:dyDescent="0.2" r="17" spans="3:15" ht="33" customHeight="1">
      <s:c r="C17" s="49" t="s">
        <s:v>29</s:v>
      </s:c>
      <s:c r="D17" s="69">
        <s:v>37</s:v>
      </s:c>
      <s:c r="E17" s="69">
        <s:v>37</s:v>
      </s:c>
      <s:c r="F17" s="51"/>
      <s:c r="G17" s="51"/>
      <s:c r="H17" s="52"/>
      <s:c r="I17" s="34"/>
      <s:c r="J17" s="34"/>
      <s:c r="K17" s="34"/>
      <s:c r="L17" s="34"/>
      <s:c r="M17" s="34"/>
      <s:c r="N17" s="34"/>
      <s:c r="O17" s="34"/>
    </s:row>
    <s:row x14ac:dyDescent="0.25" r="18" spans="3:15" ht="30" customHeight="1" thickBot="1">
      <s:c r="C18" s="53" t="s">
        <s:v>30</s:v>
      </s:c>
      <s:c r="D18" s="70">
        <s:v>35</s:v>
      </s:c>
      <s:c r="E18" s="70">
        <s:v>35</s:v>
      </s:c>
      <s:c r="F18" s="55"/>
      <s:c r="G18" s="55"/>
      <s:c r="H18" s="56"/>
      <s:c r="I18" s="34"/>
      <s:c r="J18" s="34"/>
      <s:c r="K18" s="34"/>
      <s:c r="L18" s="34"/>
      <s:c r="M18" s="34"/>
      <s:c r="N18" s="34"/>
      <s:c r="O18" s="34"/>
    </s:row>
    <s:row x14ac:dyDescent="0.2" r="19" spans="3:15" ht="33" customHeight="1">
      <s:c r="C19" s="36" t="s">
        <s:v>23</s:v>
      </s:c>
      <s:c r="D19" s="57">
        <s:f validation_="true">D16-D10</s:f>
        <s:v>30.5</s:v>
      </s:c>
      <s:c r="E19" s="57">
        <s:f validation_="true">E16-E10</s:f>
        <s:v>33.5</s:v>
      </s:c>
      <s:c r="F19" s="57">
        <s:f validation_="true">F16-F10</s:f>
        <s:v>0</s:v>
      </s:c>
      <s:c r="G19" s="57">
        <s:f validation_="true">G16-G10</s:f>
        <s:v>0</s:v>
      </s:c>
      <s:c r="H19" s="57">
        <s:f validation_="true">H16-H10</s:f>
        <s:v>0</s:v>
      </s:c>
      <s:c r="I19" s="34"/>
      <s:c r="J19" s="34"/>
      <s:c r="K19" s="34"/>
      <s:c r="L19" s="34"/>
      <s:c r="M19" s="34"/>
      <s:c r="N19" s="34"/>
    </s:row>
    <s:row x14ac:dyDescent="0.2" r="20" spans="3:15" ht="30" customHeight="1">
      <s:c r="C20" s="36" t="s">
        <s:v>24</s:v>
      </s:c>
      <s:c r="D20" s="57">
        <s:f validation_="true">D17-D11</s:f>
        <s:v>21</s:v>
      </s:c>
      <s:c r="E20" s="57">
        <s:f validation_="true">E17-E11</s:f>
        <s:v>24</s:v>
      </s:c>
      <s:c r="F20" s="57">
        <s:f validation_="true">F17-F11</s:f>
        <s:v>0</s:v>
      </s:c>
      <s:c r="G20" s="57">
        <s:f validation_="true">G17-G11</s:f>
        <s:v>0</s:v>
      </s:c>
      <s:c r="H20" s="57">
        <s:f validation_="true">H17-H11</s:f>
        <s:v>0</s:v>
      </s:c>
      <s:c r="I20" s="34"/>
      <s:c r="J20" s="34"/>
      <s:c r="K20" s="34"/>
      <s:c r="L20" s="34"/>
      <s:c r="M20" s="34"/>
      <s:c r="N20" s="34"/>
    </s:row>
    <s:row x14ac:dyDescent="0.2" r="21" spans="3:15" ht="26.5" customHeight="1">
      <s:c r="C21" s="36" t="s">
        <s:v>25</s:v>
      </s:c>
      <s:c r="D21" s="57">
        <s:f>D18-D6</s:f>
        <s:v>17</s:v>
      </s:c>
      <s:c r="E21" s="57">
        <s:f>E18-E6</s:f>
        <s:v>20</s:v>
      </s:c>
      <s:c r="F21" s="57">
        <s:f>F18-F6</s:f>
        <s:v>0</s:v>
      </s:c>
      <s:c r="G21" s="57">
        <s:f>G18-G6</s:f>
        <s:v>0</s:v>
      </s:c>
      <s:c r="H21" s="57">
        <s:f>H18-H6</s:f>
        <s:v>0</s:v>
      </s:c>
    </s:row>
    <s:row x14ac:dyDescent="0.2" r="22" spans="3:15" ht="24.5" customHeight="1"/>
    <s:row x14ac:dyDescent="0.2" r="23" spans="3:15" ht="23.5" customHeight="1"/>
  </s:sheetData>
  <s:mergeCells count="2">
    <s:mergeCell ref="C2:J2"/>
    <s:mergeCell ref="M8:N8"/>
  </s:mergeCells>
  <s:pageMargins left="0.7" right="0.7" top="0.75" bottom="0.75" header="0.3" footer="0.3"/>
  <s:pageSetup paperSize="9" orientation="portrait" horizontalDpi="180" verticalDpi="180" r:id="rId1"/>
  <s:drawing r:id="rId2"/>
</s:worksheet>
</file>

<file path=xl/worksheets/sheet2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50656464-9533-2F41-B2B8-FC7E602C60DC}">
  <s:dimension ref="C1:R21"/>
  <s:sheetViews>
    <s:sheetView tabSelected="0" zoomScale="80" zoomScaleNormal="80" workbookViewId="0">
      <s:selection activeCell="D14" sqref="D14"/>
    </s:sheetView>
  </s:sheetViews>
  <s:sheetFormatPr x14ac:dyDescent="0.2" baseColWidth="10" defaultColWidth="8.832" defaultRowHeight="15"/>
  <s:cols>
    <s:col min="1" max="1" width="27.664" style="1" customWidth="1"/>
    <s:col min="2" max="2" width="44.332" style="1" customWidth="1"/>
    <s:col min="3" max="3" width="22.832" style="1" customWidth="1"/>
    <s:col min="4" max="5" width="11.832" style="1" customWidth="1"/>
    <s:col min="6" max="7" width="11.5" style="1" customWidth="1"/>
    <s:col min="8" max="8" width="10.164" style="1" customWidth="1"/>
    <s:col min="9" max="9" width="16.164" style="1" customWidth="1"/>
    <s:col min="10" max="10" width="12.5" style="1" customWidth="1"/>
    <s:col min="11" max="11" width="8.832" style="1"/>
    <s:col min="12" max="12" width="11.332" style="1" bestFit="1" customWidth="1"/>
    <s:col min="13" max="16384" width="8.832" style="1"/>
  </s:cols>
  <s:sheetData>
    <s:row x14ac:dyDescent="0.25" r="1" spans="3:18" ht="16" thickBot="1"/>
    <s:row x14ac:dyDescent="0.25" r="2" spans="3:18" ht="41.5" customHeight="1" thickBot="1">
      <s:c r="C2" s="71" t="s">
        <s:v>0</s:v>
      </s:c>
      <s:c r="D2" s="72"/>
      <s:c r="E2" s="72"/>
      <s:c r="F2" s="72"/>
      <s:c r="G2" s="72"/>
      <s:c r="H2" s="72"/>
      <s:c r="I2" s="72"/>
      <s:c r="J2" s="73"/>
      <s:c r="K2" s="2"/>
      <s:c r="L2" s="2"/>
      <s:c r="M2" s="3" t="s">
        <s:v>1</s:v>
      </s:c>
      <s:c r="N2" s="3">
        <s:f>D9/10</s:f>
        <s:v>1</s:v>
      </s:c>
      <s:c r="O2" s="3">
        <s:f validation_="true">E10/10</s:f>
        <s:v>0.8</s:v>
      </s:c>
      <s:c r="P2" s="3">
        <s:f validation_="true">F10/10</s:f>
        <s:v>0</s:v>
      </s:c>
      <s:c r="Q2" s="3">
        <s:f validation_="true">G10/10</s:f>
        <s:v>0</s:v>
      </s:c>
      <s:c r="R2" s="3">
        <s:f validation_="true">H10/10</s:f>
        <s:v>0</s:v>
      </s:c>
    </s:row>
    <s:row x14ac:dyDescent="0.25" r="3" spans="3:18" ht="39.5" customHeight="1" thickBot="1">
      <s:c r="C3" s="4" t="s">
        <s:v>2</s:v>
      </s:c>
      <s:c r="D3" s="5">
        <s:v>44024</s:v>
      </s:c>
      <s:c r="E3" s="5"/>
      <s:c r="F3" s="5"/>
      <s:c r="G3" s="6"/>
      <s:c r="H3" s="6"/>
      <s:c r="I3" s="7" t="s">
        <s:v>3</s:v>
      </s:c>
      <s:c r="J3" s="8">
        <s:v>177</s:v>
      </s:c>
      <s:c r="K3" s="2"/>
      <s:c r="L3" s="2"/>
      <s:c r="M3" s="3" t="s">
        <s:v>4</s:v>
      </s:c>
      <s:c r="N3" s="3">
        <s:f>D10/10</s:f>
        <s:v>0.8</s:v>
      </s:c>
      <s:c r="O3" s="3">
        <s:f validation_="true">E11/10</s:f>
        <s:v>5.2</s:v>
      </s:c>
      <s:c r="P3" s="3">
        <s:f validation_="true">F11/10</s:f>
        <s:v>0</s:v>
      </s:c>
      <s:c r="Q3" s="3">
        <s:f validation_="true">G11/10</s:f>
        <s:v>0</s:v>
      </s:c>
      <s:c r="R3" s="3">
        <s:f validation_="true">H11/10</s:f>
        <s:v>0</s:v>
      </s:c>
    </s:row>
    <s:row x14ac:dyDescent="0.2" r="4" spans="3:18" ht="39.5" customHeight="1">
      <s:c r="C4" s="9" t="s">
        <s:v>5</s:v>
      </s:c>
      <s:c r="D4" s="10">
        <s:v>2</s:v>
      </s:c>
      <s:c r="E4" s="10">
        <s:v>2</s:v>
      </s:c>
      <s:c r="F4" s="10"/>
      <s:c r="G4" s="11"/>
      <s:c r="H4" s="10"/>
      <s:c r="I4" s="7" t="s">
        <s:v>6</s:v>
      </s:c>
      <s:c r="J4" s="8">
        <s:v>1.77</s:v>
      </s:c>
      <s:c r="K4" s="2"/>
      <s:c r="L4" s="2"/>
      <s:c r="M4" s="3" t="s">
        <s:v>7</s:v>
      </s:c>
      <s:c r="N4" s="3">
        <s:f>D6/10</s:f>
        <s:v>1.2</s:v>
      </s:c>
      <s:c r="O4" s="3">
        <s:f validation_="true">E6/10</s:f>
        <s:v>1.1000000000000001</s:v>
      </s:c>
      <s:c r="P4" s="3">
        <s:f validation_="true">F6/10</s:f>
        <s:v>0</s:v>
      </s:c>
      <s:c r="Q4" s="3">
        <s:f validation_="true">G6/10</s:f>
        <s:v>0</s:v>
      </s:c>
      <s:c r="R4" s="3">
        <s:f validation_="true">H6/10</s:f>
        <s:v>0</s:v>
      </s:c>
    </s:row>
    <s:row x14ac:dyDescent="0.2" r="5" spans="3:18" ht="36" customHeight="1">
      <s:c r="C5" s="9" t="s">
        <s:v>8</s:v>
      </s:c>
      <s:c r="D5" s="12">
        <s:v>4</s:v>
      </s:c>
      <s:c r="E5" s="12">
        <s:v>4</s:v>
      </s:c>
      <s:c r="F5" s="12"/>
      <s:c r="G5" s="13"/>
      <s:c r="H5" s="12"/>
      <s:c r="I5" s="7" t="s">
        <s:v>9</s:v>
      </s:c>
      <s:c r="J5" s="8">
        <s:v>43</s:v>
      </s:c>
      <s:c r="K5" s="2"/>
      <s:c r="L5" s="2"/>
      <s:c r="M5" s="2"/>
      <s:c r="N5" s="2"/>
      <s:c r="O5" s="14"/>
      <s:c r="P5" s="15"/>
      <s:c r="Q5" s="15"/>
    </s:row>
    <s:row x14ac:dyDescent="0.2" r="6" spans="3:18" ht="39" customHeight="1">
      <s:c r="C6" s="9" t="s">
        <s:v>10</s:v>
      </s:c>
      <s:c r="D6" s="12">
        <s:v>12</s:v>
      </s:c>
      <s:c r="E6" s="12">
        <s:v>11</s:v>
      </s:c>
      <s:c r="F6" s="12"/>
      <s:c r="G6" s="13"/>
      <s:c r="H6" s="12"/>
      <s:c r="I6" s="16" t="s">
        <s:v>11</s:v>
      </s:c>
      <s:c r="J6" s="17">
        <s:v>69</s:v>
      </s:c>
      <s:c r="K6" s="17">
        <s:v>72</s:v>
      </s:c>
      <s:c r="L6" s="17"/>
      <s:c r="M6" s="17"/>
      <s:c r="N6" s="17"/>
      <s:c r="O6" s="18"/>
      <s:c r="P6" s="19"/>
    </s:row>
    <s:row x14ac:dyDescent="0.25" r="7" spans="3:18" ht="35" customHeight="1" thickBot="1">
      <s:c r="C7" s="9" t="s">
        <s:v>12</s:v>
      </s:c>
      <s:c r="D7" s="12">
        <s:v>10</s:v>
      </s:c>
      <s:c r="E7" s="12">
        <s:v>8</s:v>
      </s:c>
      <s:c r="F7" s="12"/>
      <s:c r="G7" s="13"/>
      <s:c r="H7" s="12"/>
      <s:c r="I7" s="20" t="s">
        <s:v>13</s:v>
      </s:c>
      <s:c r="J7" s="21">
        <s:f>SQRT((J3*J6)/3600)</s:f>
        <s:v>1.8418740456393863</s:v>
      </s:c>
      <s:c r="K7" s="21">
        <s:f>SQRT((J3*K6)/3600)</s:f>
        <s:v>1.8814887722226779</s:v>
      </s:c>
      <s:c r="L7" s="21">
        <s:f>SQRT((J3*L6)*L3601)</s:f>
        <s:v>0</s:v>
      </s:c>
      <s:c r="M7" s="21">
        <s:f>SQRT((J3*M6)/3600)</s:f>
        <s:v>0</s:v>
      </s:c>
      <s:c r="N7" s="21">
        <s:f>SQRT((J3*N6)/3600)</s:f>
        <s:v>0</s:v>
      </s:c>
      <s:c r="O7" s="18"/>
      <s:c r="P7" s="19"/>
    </s:row>
    <s:row x14ac:dyDescent="0.2" r="8" spans="3:18" ht="35.5" customHeight="1">
      <s:c r="C8" s="9" t="s">
        <s:v>14</s:v>
      </s:c>
      <s:c r="D8" s="12">
        <s:v>10</s:v>
      </s:c>
      <s:c r="E8" s="12">
        <s:v>10</s:v>
      </s:c>
      <s:c r="F8" s="12"/>
      <s:c r="G8" s="13"/>
      <s:c r="H8" s="12"/>
      <s:c r="I8" s="22"/>
      <s:c r="J8" s="22"/>
      <s:c r="K8" s="23"/>
      <s:c r="L8" s="23"/>
      <s:c r="M8" s="75"/>
      <s:c r="N8" s="75"/>
      <s:c r="O8" s="18"/>
      <s:c r="P8" s="19"/>
    </s:row>
    <s:row x14ac:dyDescent="0.2" r="9" spans="3:18" ht="38.5" customHeight="1">
      <s:c r="C9" s="9" t="s">
        <s:v>15</s:v>
      </s:c>
      <s:c r="D9" s="12">
        <s:v>10</s:v>
      </s:c>
      <s:c r="E9" s="12">
        <s:v>9</s:v>
      </s:c>
      <s:c r="F9" s="12"/>
      <s:c r="G9" s="13"/>
      <s:c r="H9" s="12"/>
      <s:c r="I9" s="22"/>
      <s:c r="J9" s="22"/>
      <s:c r="K9" s="23"/>
      <s:c r="L9" s="23"/>
      <s:c r="M9" s="23"/>
      <s:c r="N9" s="23"/>
      <s:c r="O9" s="18"/>
      <s:c r="P9" s="19"/>
    </s:row>
    <s:row x14ac:dyDescent="0.25" r="10" spans="3:18" ht="38" customHeight="1" thickBot="1">
      <s:c r="C10" s="24" t="s">
        <s:v>16</s:v>
      </s:c>
      <s:c r="D10" s="25">
        <s:v>8</s:v>
      </s:c>
      <s:c r="E10" s="25">
        <s:v>8</s:v>
      </s:c>
      <s:c r="F10" s="25"/>
      <s:c r="G10" s="26"/>
      <s:c r="H10" s="25"/>
      <s:c r="I10" s="22"/>
      <s:c r="J10" s="22"/>
      <s:c r="K10" s="23"/>
      <s:c r="L10" s="23"/>
      <s:c r="M10" s="27">
        <s:f>SUM(D4:D10)/14</s:f>
        <s:v>4</s:v>
      </s:c>
      <s:c r="N10" s="27">
        <s:f>M10*J7*1.3</s:f>
        <s:v>9.5777450373248083</s:v>
      </s:c>
      <s:c r="O10" s="18"/>
      <s:c r="P10" s="19"/>
    </s:row>
    <s:row x14ac:dyDescent="0.25" r="11" spans="3:18" ht="41" customHeight="1" thickBot="1">
      <s:c r="C11" s="28" t="s">
        <s:v>17</s:v>
      </s:c>
      <s:c r="D11" s="29">
        <s:f>SUM(D4:D10)</s:f>
        <s:v>56</s:v>
      </s:c>
      <s:c r="E11" s="29">
        <s:f>SUM(E4:E10)</s:f>
        <s:v>52</s:v>
      </s:c>
      <s:c r="F11" s="29">
        <s:f>SUM(F4:F10)</s:f>
        <s:v>0</s:v>
      </s:c>
      <s:c r="G11" s="29">
        <s:f>SUM(G4:G10)</s:f>
        <s:v>0</s:v>
      </s:c>
      <s:c r="H11" s="29">
        <s:f>SUM(H4:H10)</s:f>
        <s:v>0</s:v>
      </s:c>
      <s:c r="I11" s="22"/>
      <s:c r="J11" s="22"/>
      <s:c r="K11" s="23"/>
      <s:c r="L11" s="23"/>
      <s:c r="M11" s="27">
        <s:f>SUM(E4:E10)/14</s:f>
        <s:v>3.7142857142857144</s:v>
      </s:c>
      <s:c r="N11" s="27">
        <s:f>M11*J7*1.3</s:f>
        <s:v>8.8936203918016083</s:v>
      </s:c>
      <s:c r="O11" s="18"/>
      <s:c r="P11" s="19"/>
    </s:row>
    <s:row x14ac:dyDescent="0.25" r="12" spans="3:18" ht="37" customHeight="1" thickBot="1">
      <s:c r="C12" s="30" t="s">
        <s:v>18</s:v>
      </s:c>
      <s:c r="D12" s="31">
        <s:f validation_="true">(N10*100)/J6</s:f>
        <s:v>13.8807899091663</s:v>
      </s:c>
      <s:c r="E12" s="31">
        <s:f>(N11*100)/K6</s:f>
        <s:v>12.352250544168902</s:v>
      </s:c>
      <s:c r="F12" s="31" t="e">
        <s:f>(N12*100)/L6</s:f>
        <s:v>#DIV/0!</s:v>
      </s:c>
      <s:c r="G12" s="31" t="e">
        <s:f>(N14*100)/M6</s:f>
        <s:v>#DIV/0!</s:v>
      </s:c>
      <s:c r="H12" s="31" t="e">
        <s:f>(N15*100)/N6</s:f>
        <s:v>#DIV/0!</s:v>
      </s:c>
      <s:c r="I12" s="22"/>
      <s:c r="J12" s="22"/>
      <s:c r="K12" s="23"/>
      <s:c r="L12" s="23"/>
      <s:c r="M12" s="27">
        <s:f>F11/14</s:f>
        <s:v>0</s:v>
      </s:c>
      <s:c r="N12" s="27">
        <s:f>M12*J7*1.3</s:f>
        <s:v>0</s:v>
      </s:c>
      <s:c r="O12" s="18"/>
      <s:c r="P12" s="19"/>
    </s:row>
    <s:row x14ac:dyDescent="0.25" r="13" spans="3:18" ht="37" customHeight="1" thickBot="1">
      <s:c r="C13" s="58" t="s">
        <s:v>31</s:v>
      </s:c>
      <s:c r="D13" s="64">
        <s:f>D12*J6/100</s:f>
        <s:v>9.57774503732481</s:v>
      </s:c>
      <s:c r="E13" s="64">
        <s:f validation_="true">E12*K6/100</s:f>
        <s:v>8.8936203918016083</s:v>
      </s:c>
      <s:c r="F13" s="64" t="e">
        <s:f validation_="true">F12*L6/100</s:f>
        <s:v>#DIV/0!</s:v>
      </s:c>
      <s:c r="G13" s="64" t="e">
        <s:f validation_="true">G12*M6/100</s:f>
        <s:v>#DIV/0!</s:v>
      </s:c>
      <s:c r="H13" s="64" t="e">
        <s:f validation_="true">H12*N6/100</s:f>
        <s:v>#DIV/0!</s:v>
      </s:c>
      <s:c r="I13" s="22"/>
      <s:c r="J13" s="22"/>
      <s:c r="K13" s="23"/>
      <s:c r="L13" s="23"/>
      <s:c r="M13" s="27"/>
      <s:c r="N13" s="27"/>
      <s:c r="O13" s="18"/>
      <s:c r="P13" s="19"/>
    </s:row>
    <s:row x14ac:dyDescent="0.25" r="14" spans="3:18" ht="34.75" customHeight="1" thickBot="1">
      <s:c r="C14" s="32" t="s">
        <s:v>19</s:v>
      </s:c>
      <s:c r="D14" s="33">
        <s:f validation_="true">J4*(0.00088*POWER(D15-D9/10,2)+0.00744*POWER(D17-D6/10,2)+0.00441*POWER(D16-D10/10,2))+2.4*0-0.048*J5+0+7.8</s:f>
        <s:v>34.25318154</s:v>
      </s:c>
      <s:c r="E14" s="33">
        <s:f>J4*(0.00088*POWER(E15-E9/10,2)+0.00744*POWER(E17-E6/10,2)+0.00441*POWER(E16-E10/10,2))+2.4*0-0.048*J5+0+7.8</s:f>
        <s:v>36.140298191999996</s:v>
      </s:c>
      <s:c r="F14" s="33">
        <s:f>J4*(0.00088*POWER(F15-F9/10,2)+0.00744*POWER(F17-F6/10,2)+0.00441*POWER(F16-F10/10,2))+2.4*0-0.048*J5+0+7.8</s:f>
        <s:v>5.7359999999999998</s:v>
      </s:c>
      <s:c r="G14" s="33">
        <s:f>J4*(0.00088*POWER(G15-G9/10,2)+0.00744*POWER(G17-G6/10,2)+0.00441*POWER(G16-G10/10,2))+2.4*0-0.048*J5+0+7.8</s:f>
        <s:v>5.7359999999999998</s:v>
      </s:c>
      <s:c r="H14" s="33">
        <s:f>J4*(0.00088*POWER(H15-H9/10,2)+0.00744*POWER(H17-H6/10,2)+0.00441*POWER(H16-H10/10,2))+2.4*0-0.048*J5+0+7.8</s:f>
        <s:v>5.7359999999999998</s:v>
      </s:c>
      <s:c r="I14" s="22"/>
      <s:c r="J14" s="22"/>
      <s:c r="K14" s="23"/>
      <s:c r="L14" s="23"/>
      <s:c r="M14" s="27">
        <s:f>G11/14</s:f>
        <s:v>0</s:v>
      </s:c>
      <s:c r="N14" s="27">
        <s:f>M14*J7*1.3</s:f>
        <s:v>0</s:v>
      </s:c>
      <s:c r="O14" s="34"/>
    </s:row>
    <s:row x14ac:dyDescent="0.2" r="15" spans="3:18" ht="39" customHeight="1">
      <s:c r="C15" s="59" t="s">
        <s:v>20</s:v>
      </s:c>
      <s:c r="D15" s="60">
        <s:v>62</s:v>
      </s:c>
      <s:c r="E15" s="60">
        <s:v>64</s:v>
      </s:c>
      <s:c r="F15" s="60"/>
      <s:c r="G15" s="60"/>
      <s:c r="H15" s="61"/>
      <s:c r="I15" s="22"/>
      <s:c r="J15" s="22"/>
      <s:c r="K15" s="23"/>
      <s:c r="L15" s="23"/>
      <s:c r="M15" s="27">
        <s:f>H11/14</s:f>
        <s:v>0</s:v>
      </s:c>
      <s:c r="N15" s="27">
        <s:f>M15*J7*1.3</s:f>
        <s:v>0</s:v>
      </s:c>
      <s:c r="O15" s="34"/>
    </s:row>
    <s:row x14ac:dyDescent="0.2" r="16" spans="3:18" ht="27.5" customHeight="1">
      <s:c r="C16" s="49" t="s">
        <s:v>21</s:v>
      </s:c>
      <s:c r="D16" s="50">
        <s:v>37</s:v>
      </s:c>
      <s:c r="E16" s="50">
        <s:v>38</s:v>
      </s:c>
      <s:c r="F16" s="50"/>
      <s:c r="G16" s="50"/>
      <s:c r="H16" s="62"/>
      <s:c r="I16" s="35"/>
      <s:c r="J16" s="35"/>
      <s:c r="K16" s="35"/>
      <s:c r="L16" s="35"/>
      <s:c r="M16" s="35"/>
      <s:c r="N16" s="35"/>
      <s:c r="O16" s="34"/>
    </s:row>
    <s:row x14ac:dyDescent="0.25" r="17" spans="3:14" ht="35" customHeight="1" thickBot="1">
      <s:c r="C17" s="53" t="s">
        <s:v>22</s:v>
      </s:c>
      <s:c r="D17" s="54">
        <s:v>32</s:v>
      </s:c>
      <s:c r="E17" s="54">
        <s:v>33</s:v>
      </s:c>
      <s:c r="F17" s="54"/>
      <s:c r="G17" s="54"/>
      <s:c r="H17" s="63"/>
      <s:c r="I17" s="35"/>
      <s:c r="J17" s="35"/>
      <s:c r="K17" s="35"/>
      <s:c r="L17" s="35"/>
      <s:c r="M17" s="35"/>
      <s:c r="N17" s="35"/>
    </s:row>
    <s:row x14ac:dyDescent="0.2" r="18" spans="3:14">
      <s:c r="C18" s="36" t="s">
        <s:v>23</s:v>
      </s:c>
      <s:c r="D18" s="36">
        <s:f>D15-D9</s:f>
        <s:v>52</s:v>
      </s:c>
      <s:c r="I18" s="34"/>
      <s:c r="J18" s="34"/>
      <s:c r="K18" s="34"/>
      <s:c r="L18" s="34"/>
      <s:c r="M18" s="34"/>
      <s:c r="N18" s="34"/>
    </s:row>
    <s:row x14ac:dyDescent="0.2" r="19" spans="3:14">
      <s:c r="C19" s="36" t="s">
        <s:v>24</s:v>
      </s:c>
      <s:c r="D19" s="36">
        <s:f>D16-D10</s:f>
        <s:v>29</s:v>
      </s:c>
    </s:row>
    <s:row x14ac:dyDescent="0.2" r="20" spans="3:14">
      <s:c r="C20" s="36" t="s">
        <s:v>25</s:v>
      </s:c>
      <s:c r="D20" s="36">
        <s:f>D17-D5</s:f>
        <s:v>28</s:v>
      </s:c>
    </s:row>
    <s:row x14ac:dyDescent="0.2" r="21" spans="3:14">
      <s:c r="C21" s="37"/>
      <s:c r="D21" s="37"/>
    </s:row>
  </s:sheetData>
  <s:mergeCells count="2">
    <s:mergeCell ref="C2:J2"/>
    <s:mergeCell ref="M8:N8"/>
  </s:mergeCells>
  <s:pageMargins left="0.7" right="0.7" top="0.75" bottom="0.75" header="0.3" footer="0.3"/>
  <s:pageSetup paperSize="9" orientation="portrait" horizontalDpi="180" verticalDpi="180" r:id="rId1"/>
  <s:drawing r:id="rId2"/>
</s:worksheet>
</file>

<file path=xl/worksheets/sheet3.xml><?xml version="1.0" encoding="utf-8"?>
<s:worksheet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mc:Ignorable="x14ac xr xr2 xr3" xr:uid="{0E060F42-5E0A-B44A-B78F-ECBE38212097}">
  <s:dimension ref="A1"/>
  <s:sheetViews>
    <s:sheetView tabSelected="0" workbookViewId="0"/>
  </s:sheetViews>
  <s:sheetFormatPr x14ac:dyDescent="0.2" baseColWidth="10" defaultColWidth="10" defaultRowHeight="16"/>
  <s:sheetData/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3</vt:i4>
      </vt:variant>
    </vt:vector>
  </ep:HeadingPairs>
  <ep:TitlesOfParts>
    <vt:vector size="3" baseType="lpstr">
      <vt:lpstr>карипер мужчина</vt:lpstr>
      <vt:lpstr>калипер женщина</vt:lpstr>
      <vt:lpstr>Лист1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dc="http://purl.org/dc/elements/1.1/" xmlns:dcterms="http://purl.org/dc/terms/" xmlns:cp="http://schemas.openxmlformats.org/package/2006/metadata/core-properties">
  <dc:creator>Алексей Антонов</dc:creator>
  <cp:lastModifiedBy>Алексей Антонов</cp:lastModifiedBy>
  <dcterms:created xsi:type="dcterms:W3CDTF">2023-10-16T09:43:22Z</dcterms:created>
  <dcterms:modified xsi:type="dcterms:W3CDTF">2024-11-13T08:13:32Z</dcterms:modified>
</cp:coreProperties>
</file>