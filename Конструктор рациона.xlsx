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unk3="http://schemas.microsoft.com/office/spreadsheetml/2018/calcfeatures" xmlns:s="http://schemas.openxmlformats.org/spreadsheetml/2006/main" xmlns:r="http://schemas.openxmlformats.org/officeDocument/2006/relationships" xmlns:unk1="http://schemas.microsoft.com/office/spreadsheetml/2010/11/main" mc:Ignorable="unk1 xr xr6 xr10 xr2">
  <s:fileVersion appName="xl" lastEdited="7" lowestEdited="7" rupBuild="10313"/>
  <s:workbookPr/>
  <s:bookViews>
    <s:workbookView xr2:uid="{00000000-000D-0000-FFFF-FFFF00000000}" xWindow="0" yWindow="500" windowWidth="38400" windowHeight="19400"/>
  </s:bookViews>
  <s:sheets>
    <s:sheet name="Расчет рациона" sheetId="1" state="visible" r:id="rId1"/>
    <s:sheet name="Злаковые продукты" sheetId="2" state="visible" r:id="rId2"/>
    <s:sheet name="Белковые продукты" sheetId="3" state="visible" r:id="rId3"/>
    <s:sheet name="Жиры и масла" sheetId="4" state="visible" r:id="rId4"/>
    <s:sheet name="Продукты для перекусов" sheetId="5" state="visible" r:id="rId5"/>
  </s:sheets>
  <s:definedNames>
    <s:definedName name="_xlnm._FilterDatabase" localSheetId="2" hidden="1">'Белковые продукты'!$A$1:$E$16</s:definedName>
    <s:definedName name="_xlnm._FilterDatabase" localSheetId="3" hidden="1">'Жиры и масла'!$A$1:$E$8</s:definedName>
    <s:definedName name="_xlnm._FilterDatabase" localSheetId="1" hidden="1">'Злаковые продукты'!$A$1:$E$13</s:definedName>
    <s:definedName name="_xlnm._FilterDatabase" localSheetId="4" hidden="1">'Продукты для перекусов'!$A$1:$E$13</s:definedName>
    <s:definedName name="_xlnm._FilterDatabase" localSheetId="0" hidden="1">'Расчет рациона'!$A$1:$H$22</s:definedName>
    <s:definedName name="FatList">'Жиры и масла'!$A$2:$A$8</s:definedName>
    <s:definedName name="GrainList">'Злаковые продукты'!$A$2:$A$13</s:definedName>
    <s:definedName name="ProteinList">'Белковые продукты'!$A$2:$A$16</s:definedName>
    <s:definedName name="SnackList">'Продукты для перекусов'!$A$2:$A$13</s:definedName>
  </s:definedNames>
  <s:calcPr calcId="191029" refMode="R1C1"/>
  <s:extLs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</unk3:calcFeatures>
    </s:ext>
  </s:extLst>
</s:workbook>
</file>

<file path=xl/sharedStrings.xml><?xml version="1.0" encoding="utf-8"?>
<s:sst xmlns:s="http://schemas.openxmlformats.org/spreadsheetml/2006/main" count="114" uniqueCount="68">
  <s:si>
    <s:t>Приём пищи</s:t>
  </s:si>
  <s:si>
    <s:t>Категория</s:t>
  </s:si>
  <s:si>
    <s:t>Продукт</s:t>
  </s:si>
  <s:si>
    <s:t>Порция, г</s:t>
  </s:si>
  <s:si>
    <s:t>ккал</s:t>
  </s:si>
  <s:si>
    <s:t>Белки, г</s:t>
  </s:si>
  <s:si>
    <s:t>Жиры, г</s:t>
  </s:si>
  <s:si>
    <s:t>Углеводы, г</s:t>
  </s:si>
  <s:si>
    <s:t>Как пользоваться</s:t>
  </s:si>
  <s:si>
    <s:t>Завтрак</s:t>
  </s:si>
  <s:si>
    <s:t>Злаковый продукт</s:t>
  </s:si>
  <s:si>
    <s:t>В каждом приёме выберите 3 продукта из списков и укажите массу порции. КБЖУ рассчитаются автоматически. Справочники можно редактировать на отдельных вкладках.</s:t>
  </s:si>
  <s:si>
    <s:t>Белковый продукт</s:t>
  </s:si>
  <s:si>
    <s:t>Жир / масло</s:t>
  </s:si>
  <s:si>
    <s:t>Итого за приём</s:t>
  </s:si>
  <s:si>
    <s:t>Перекус 1</s:t>
  </s:si>
  <s:si>
    <s:t>Перекус / углеводный продукт</s:t>
  </s:si>
  <s:si>
    <s:t>Обед</s:t>
  </s:si>
  <s:si>
    <s:t>Перекус 2</s:t>
  </s:si>
  <s:si>
    <s:t>Ужин</s:t>
  </s:si>
  <s:si>
    <s:t>ИТОГО ЗА ДЕНЬ</s:t>
  </s:si>
  <s:si>
    <s:t>Рис белый варёный</s:t>
  </s:si>
  <s:si>
    <s:t>Рис бурый варёный</s:t>
  </s:si>
  <s:si>
    <s:t>Гречка варёная</s:t>
  </s:si>
  <s:si>
    <s:t>Овсяная каша на воде</s:t>
  </s:si>
  <s:si>
    <s:t>Булгур варёный</s:t>
  </s:si>
  <s:si>
    <s:t>Кускус варёный</s:t>
  </s:si>
  <s:si>
    <s:t>Киноа варёная</s:t>
  </s:si>
  <s:si>
    <s:t>Перловка варёная</s:t>
  </s:si>
  <s:si>
    <s:t>Пшено варёное</s:t>
  </s:si>
  <s:si>
    <s:t>Макароны варёные</s:t>
  </s:si>
  <s:si>
    <s:t>Картофель отварной</s:t>
  </s:si>
  <s:si>
    <s:t>Хлеб цельнозерновой</s:t>
  </s:si>
  <s:si>
    <s:t>Куриная грудка готовая</s:t>
  </s:si>
  <s:si>
    <s:t>Филе индейки готовое</s:t>
  </s:si>
  <s:si>
    <s:t>Говядина постная готовая</s:t>
  </s:si>
  <s:si>
    <s:t>Телятина готовая</s:t>
  </s:si>
  <s:si>
    <s:t>Свинина постная готовая</s:t>
  </s:si>
  <s:si>
    <s:t>Треска готовая</s:t>
  </s:si>
  <s:si>
    <s:t>Хек готовый</s:t>
  </s:si>
  <s:si>
    <s:t>Лосось готовый</s:t>
  </s:si>
  <s:si>
    <s:t>Тунец в собственном соку</s:t>
  </s:si>
  <s:si>
    <s:t>Креветки готовые</s:t>
  </s:si>
  <s:si>
    <s:t>Яйцо куриное</s:t>
  </s:si>
  <s:si>
    <s:t>Творог 2%</s:t>
  </s:si>
  <s:si>
    <s:t>Творог 5%</s:t>
  </s:si>
  <s:si>
    <s:t>Йогурт греческий 2%</s:t>
  </s:si>
  <s:si>
    <s:t>Тофу</s:t>
  </s:si>
  <s:si>
    <s:t>Оливковое масло</s:t>
  </s:si>
  <s:si>
    <s:t>Подсолнечное масло</s:t>
  </s:si>
  <s:si>
    <s:t>Рапсовое масло</s:t>
  </s:si>
  <s:si>
    <s:t>Льняное масло</s:t>
  </s:si>
  <s:si>
    <s:t>Кокосовое масло</s:t>
  </s:si>
  <s:si>
    <s:t>Сливочное масло 82,5%</s:t>
  </s:si>
  <s:si>
    <s:t>Масло гхи</s:t>
  </s:si>
  <s:si>
    <s:t>Курага</s:t>
  </s:si>
  <s:si>
    <s:t>Чернослив</s:t>
  </s:si>
  <s:si>
    <s:t>Изюм</s:t>
  </s:si>
  <s:si>
    <s:t>Финики</s:t>
  </s:si>
  <s:si>
    <s:t>Инжир сушёный</s:t>
  </s:si>
  <s:si>
    <s:t>Хлеб пшеничный</s:t>
  </s:si>
  <s:si>
    <s:t>Хлеб ржаной</s:t>
  </s:si>
  <s:si>
    <s:t>Джем</s:t>
  </s:si>
  <s:si>
    <s:t>Зефир</s:t>
  </s:si>
  <s:si>
    <s:t>Пастила</s:t>
  </s:si>
  <s:si>
    <s:t>Мармелад</s:t>
  </s:si>
  <s:si>
    <s:t>цель 4000</s:t>
  </s:si>
  <s:si>
    <s:t>1,4 г/кг</s:t>
  </s:si>
</s:sst>
</file>

<file path=xl/styles.xml><?xml version="1.0" encoding="utf-8"?>
<s:styleSheet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xmlns:mc="http://schemas.openxmlformats.org/markup-compatibility/2006" mc:Ignorable="x14ac x16r2 xr">
  <s:numFmts count="1">
    <s:numFmt numFmtId="164" formatCode="0.0"/>
  </s:numFmts>
  <s:fonts x14ac:knownFonts="1" count="3">
    <s:font>
      <s:name val="Calibri"/>
      <s:family val="2"/>
      <s:color theme="1"/>
      <s:sz val="11"/>
      <s:scheme val="minor"/>
    </s:font>
    <s:font>
      <s:name val="Calibri"/>
      <s:family val="2"/>
      <s:b val="1"/>
      <s:color rgb="FFFFFFFF"/>
      <s:sz val="11"/>
    </s:font>
    <s:font>
      <s:name val="Calibri"/>
      <s:family val="2"/>
      <s:b val="1"/>
      <s:sz val="11"/>
    </s:font>
  </s:fonts>
  <s:fills count="9">
    <s:fill>
      <s:patternFill patternType="none"/>
    </s:fill>
    <s:fill>
      <s:patternFill patternType="gray125"/>
    </s:fill>
    <s:fill>
      <s:patternFill patternType="solid">
        <s:fgColor rgb="FF1F4E78"/>
      </s:patternFill>
    </s:fill>
    <s:fill>
      <s:patternFill patternType="solid">
        <s:fgColor rgb="FFD9EAF7"/>
      </s:patternFill>
    </s:fill>
    <s:fill>
      <s:patternFill patternType="solid">
        <s:fgColor rgb="FFFCE4D6"/>
      </s:patternFill>
    </s:fill>
    <s:fill>
      <s:patternFill patternType="solid">
        <s:fgColor rgb="FFE4DFEC"/>
      </s:patternFill>
    </s:fill>
    <s:fill>
      <s:patternFill patternType="solid">
        <s:fgColor rgb="FFE2F0D9"/>
      </s:patternFill>
    </s:fill>
    <s:fill>
      <s:patternFill patternType="solid">
        <s:fgColor rgb="FFFFF2CC"/>
      </s:patternFill>
    </s:fill>
    <s:fill>
      <s:patternFill patternType="solid">
        <s:fgColor rgb="FF9E9452"/>
      </s:patternFill>
    </s:fill>
  </s:fills>
  <s:borders count="4">
    <s:border>
      <s:left/>
      <s:right/>
      <s:top/>
      <s:bottom/>
      <s:diagonal/>
    </s:border>
    <s:border>
      <s:left style="thin">
        <s:color rgb="FFA6A6A6"/>
      </s:left>
      <s:right style="thin">
        <s:color rgb="FFA6A6A6"/>
      </s:right>
      <s:top style="thin">
        <s:color rgb="FFA6A6A6"/>
      </s:top>
      <s:bottom style="thin">
        <s:color rgb="FFA6A6A6"/>
      </s:bottom>
      <s:diagonal/>
    </s:border>
    <s:border>
      <s:left style="thin">
        <s:color rgb="FFA6A6A6"/>
      </s:left>
      <s:right style="thin">
        <s:color rgb="FFA6A6A6"/>
      </s:right>
      <s:top/>
      <s:bottom/>
      <s:diagonal/>
    </s:border>
    <s:border>
      <s:left style="thin">
        <s:color rgb="FFA6A6A6"/>
      </s:left>
      <s:right style="thin">
        <s:color rgb="FFA6A6A6"/>
      </s:right>
      <s:top/>
      <s:bottom style="thin">
        <s:color rgb="FFA6A6A6"/>
      </s:bottom>
      <s:diagonal/>
    </s:border>
  </s:borders>
  <s:cellStyleXfs count="1">
    <s:xf numFmtId="0" fontId="0" fillId="0" borderId="0"/>
  </s:cellStyleXfs>
  <s:cellXfs count="33">
    <s:xf numFmtId="0" fontId="0" fillId="0" borderId="0" xfId="0"/>
    <s:xf numFmtId="0" fontId="1" fillId="2" borderId="0" xfId="0" applyFont="1" applyFill="1" applyAlignment="1">
      <s:alignment horizontal="center" vertical="center" wrapText="1" mc:Ignorable="vyd"/>
    </s:xf>
    <s:xf numFmtId="0" fontId="2" fillId="0" borderId="0" xfId="0" applyFont="1"/>
    <s:xf numFmtId="0" fontId="0" fillId="3" borderId="1" xfId="0" applyFill="1" applyBorder="1"/>
    <s:xf numFmtId="0" fontId="0" fillId="7" borderId="1" xfId="0" applyFill="1" applyBorder="1"/>
    <s:xf numFmtId="1" fontId="0" fillId="7" borderId="1" xfId="0" applyNumberFormat="1" applyFill="1" applyBorder="1"/>
    <s:xf numFmtId="164" fontId="0" fillId="0" borderId="1" xfId="0" applyNumberFormat="1" applyBorder="1"/>
    <s:xf numFmtId="0" fontId="0" fillId="0" borderId="0" xfId="0" applyAlignment="1">
      <s:alignment vertical="top" wrapText="1" mc:Ignorable="vyd"/>
    </s:xf>
    <s:xf numFmtId="0" fontId="2" fillId="3" borderId="1" xfId="0" applyFont="1" applyFill="1" applyBorder="1"/>
    <s:xf numFmtId="164" fontId="2" fillId="3" borderId="1" xfId="0" applyNumberFormat="1" applyFont="1" applyFill="1" applyBorder="1"/>
    <s:xf numFmtId="0" fontId="0" fillId="4" borderId="1" xfId="0" applyFill="1" applyBorder="1"/>
    <s:xf numFmtId="0" fontId="2" fillId="4" borderId="1" xfId="0" applyFont="1" applyFill="1" applyBorder="1"/>
    <s:xf numFmtId="164" fontId="2" fillId="4" borderId="1" xfId="0" applyNumberFormat="1" applyFont="1" applyFill="1" applyBorder="1"/>
    <s:xf numFmtId="0" fontId="0" fillId="5" borderId="1" xfId="0" applyFill="1" applyBorder="1"/>
    <s:xf numFmtId="0" fontId="2" fillId="5" borderId="1" xfId="0" applyFont="1" applyFill="1" applyBorder="1"/>
    <s:xf numFmtId="164" fontId="2" fillId="5" borderId="1" xfId="0" applyNumberFormat="1" applyFont="1" applyFill="1" applyBorder="1"/>
    <s:xf numFmtId="0" fontId="0" fillId="6" borderId="1" xfId="0" applyFill="1" applyBorder="1"/>
    <s:xf numFmtId="0" fontId="2" fillId="6" borderId="1" xfId="0" applyFont="1" applyFill="1" applyBorder="1"/>
    <s:xf numFmtId="164" fontId="2" fillId="6" borderId="1" xfId="0" applyNumberFormat="1" applyFont="1" applyFill="1" applyBorder="1"/>
    <s:xf numFmtId="0" fontId="2" fillId="7" borderId="1" xfId="0" applyFont="1" applyFill="1" applyBorder="1"/>
    <s:xf numFmtId="164" fontId="2" fillId="7" borderId="1" xfId="0" applyNumberFormat="1" applyFont="1" applyFill="1" applyBorder="1"/>
    <s:xf numFmtId="0" fontId="1" fillId="8" borderId="1" xfId="0" applyFont="1" applyFill="1" applyBorder="1"/>
    <s:xf numFmtId="164" fontId="1" fillId="8" borderId="1" xfId="0" applyNumberFormat="1" applyFont="1" applyFill="1" applyBorder="1"/>
    <s:xf numFmtId="0" fontId="1" fillId="2" borderId="1" xfId="0" applyFont="1" applyFill="1" applyBorder="1" applyAlignment="1">
      <s:alignment horizontal="center" mc:Ignorable="vyd"/>
    </s:xf>
    <s:xf numFmtId="0" fontId="0" fillId="0" borderId="1" xfId="0" applyBorder="1"/>
    <s:xf numFmtId="0" fontId="2" fillId="3" borderId="1" xfId="0" applyFont="1" applyFill="1" applyBorder="1" applyAlignment="1">
      <s:alignment horizontal="center" vertical="center" wrapText="1" mc:Ignorable="vyd"/>
    </s:xf>
    <s:xf numFmtId="0" fontId="0" fillId="0" borderId="2" xfId="0" applyBorder="1"/>
    <s:xf numFmtId="0" fontId="0" fillId="0" borderId="3" xfId="0" applyBorder="1"/>
    <s:xf numFmtId="0" fontId="2" fillId="5" borderId="1" xfId="0" applyFont="1" applyFill="1" applyBorder="1" applyAlignment="1">
      <s:alignment horizontal="center" vertical="center" wrapText="1" mc:Ignorable="vyd"/>
    </s:xf>
    <s:xf numFmtId="0" fontId="2" fillId="6" borderId="1" xfId="0" applyFont="1" applyFill="1" applyBorder="1" applyAlignment="1">
      <s:alignment horizontal="center" vertical="center" wrapText="1" mc:Ignorable="vyd"/>
    </s:xf>
    <s:xf numFmtId="0" fontId="2" fillId="4" borderId="1" xfId="0" applyFont="1" applyFill="1" applyBorder="1" applyAlignment="1">
      <s:alignment horizontal="center" vertical="center" wrapText="1" mc:Ignorable="vyd"/>
    </s:xf>
    <s:xf numFmtId="0" fontId="2" fillId="7" borderId="1" xfId="0" applyFont="1" applyFill="1" applyBorder="1" applyAlignment="1">
      <s:alignment horizontal="center" vertical="center" wrapText="1" mc:Ignorable="vyd"/>
    </s:xf>
    <s:xf numFmtId="9" fontId="0" fillId="0" borderId="0" xfId="0" applyNumberFormat="1"/>
  </s:cellXfs>
  <s:cellStyles count="1">
    <s:cellStyle name="Обычный" xfId="0" builtinId="0"/>
  </s:cellStyles>
  <s:dxfs count="0"/>
  <s:tableStyles count="0" defaultTableStyle="TableStyleMedium9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8" Type="http://schemas.openxmlformats.org/officeDocument/2006/relationships/sharedStrings" Target="sharedStrings.xml"/><Relationship Id="rId6" Type="http://schemas.openxmlformats.org/officeDocument/2006/relationships/styles" Target="styles.xml"/><Relationship Target="theme/theme1.xml" Type="http://schemas.openxmlformats.org/officeDocument/2006/relationships/theme" Id="rId7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 xmlns:xr2="http://schemas.microsoft.com/office/spreadsheetml/2015/revision2" xmlns:x14ac="http://schemas.microsoft.com/office/spreadsheetml/2009/9/ac" xmlns:vyd="http://volga.yandex.com/schemas/document/model" xmlns:xr="http://schemas.microsoft.com/office/spreadsheetml/2014/revision" xmlns:mc="http://schemas.openxmlformats.org/markup-compatibility/2006" xmlns:xr3="http://schemas.microsoft.com/office/spreadsheetml/2016/revision3" mc:Ignorable="x14ac xr xr2 xr3" xr:uid="{00000000-0001-0000-0000-000000000000}">
  <s:dimension ref="A1:J26"/>
  <s:sheetViews>
    <s:sheetView tabSelected="0" zoomScale="140" zoomScaleNormal="140" workbookViewId="0">
      <s:pane ySplit="1" topLeftCell="A2" activePane="bottomLeft" state="frozen"/>
      <s:selection pane="bottomLeft" activeCell="B16" sqref="B16"/>
    </s:sheetView>
  </s:sheetViews>
  <s:sheetFormatPr x14ac:dyDescent="0.2" baseColWidth="10" defaultColWidth="8.832" defaultRowHeight="15"/>
  <s:cols>
    <s:col min="1" max="1" width="16" customWidth="1"/>
    <s:col min="2" max="2" width="26.5" customWidth="1"/>
    <s:col min="3" max="3" width="20.664" customWidth="1"/>
    <s:col min="4" max="7" width="12" customWidth="1"/>
    <s:col min="8" max="8" width="15" customWidth="1"/>
    <s:col min="10" max="10" width="42" customWidth="1"/>
  </s:cols>
  <s:sheetData>
    <s:row x14ac:dyDescent="0.2" r="1" spans="1:10" ht="16">
      <s:c r="A1" s="1" t="s">
        <s:v>0</s:v>
      </s:c>
      <s:c r="B1" s="1" t="s">
        <s:v>1</s:v>
      </s:c>
      <s:c r="C1" s="1" t="s">
        <s:v>2</s:v>
      </s:c>
      <s:c r="D1" s="1" t="s">
        <s:v>3</s:v>
      </s:c>
      <s:c r="E1" s="1" t="s">
        <s:v>4</s:v>
      </s:c>
      <s:c r="F1" s="1" t="s">
        <s:v>5</s:v>
      </s:c>
      <s:c r="G1" s="1" t="s">
        <s:v>6</s:v>
      </s:c>
      <s:c r="H1" s="1" t="s">
        <s:v>7</s:v>
      </s:c>
      <s:c r="J1" s="2" t="s">
        <s:v>8</s:v>
      </s:c>
    </s:row>
    <s:row x14ac:dyDescent="0.2" r="2" spans="1:10" ht="55" customHeight="1">
      <s:c r="A2" s="25" t="s">
        <s:v>9</s:v>
      </s:c>
      <s:c r="B2" s="3" t="s">
        <s:v>10</s:v>
      </s:c>
      <s:c r="C2" s="4" t="s">
        <s:v>23</s:v>
      </s:c>
      <s:c r="D2" s="5">
        <s:v>300</s:v>
      </s:c>
      <s:c r="E2" s="6">
        <s:f>IF(OR(C2="",D2=""),"",IFERROR(VLOOKUP(C2,'Злаковые продукты'!$A:$E,2,FALSE)*D2/100,""))</s:f>
        <s:v>330</s:v>
      </s:c>
      <s:c r="F2" s="6">
        <s:f>IF(OR(C2="",D2=""),"",IFERROR(VLOOKUP(C2,'Злаковые продукты'!$A:$E,3,FALSE)*D2/100,""))</s:f>
        <s:v>12.6</s:v>
      </s:c>
      <s:c r="G2" s="6">
        <s:f>IF(OR(C2="",D2=""),"",IFERROR(VLOOKUP(C2,'Злаковые продукты'!$A:$E,4,FALSE)*D2/100,""))</s:f>
        <s:v>3.3</s:v>
      </s:c>
      <s:c r="H2" s="6">
        <s:f>IF(OR(C2="",D2=""),"",IFERROR(VLOOKUP(C2,'Злаковые продукты'!$A:$E,5,FALSE)*D2/100,""))</s:f>
        <s:v>63.9</s:v>
      </s:c>
      <s:c r="J2" s="7" t="s">
        <s:v>11</s:v>
      </s:c>
    </s:row>
    <s:row x14ac:dyDescent="0.2" r="3" spans="1:10">
      <s:c r="A3" s="26"/>
      <s:c r="B3" s="3" t="s">
        <s:v>12</s:v>
      </s:c>
      <s:c r="C3" s="4" t="s">
        <s:v>45</s:v>
      </s:c>
      <s:c r="D3" s="5">
        <s:v>100</s:v>
      </s:c>
      <s:c r="E3" s="6">
        <s:f>IF(OR(C3="",D3=""),"",IFERROR(VLOOKUP(C3,'Белковые продукты'!$A:$E,2,FALSE)*D3/100,""))</s:f>
        <s:v>121</s:v>
      </s:c>
      <s:c r="F3" s="6">
        <s:f>IF(OR(C3="",D3=""),"",IFERROR(VLOOKUP(C3,'Белковые продукты'!$A:$E,3,FALSE)*D3/100,""))</s:f>
        <s:v>17</s:v>
      </s:c>
      <s:c r="G3" s="6">
        <s:f>IF(OR(C3="",D3=""),"",IFERROR(VLOOKUP(C3,'Белковые продукты'!$A:$E,4,FALSE)*D3/100,""))</s:f>
        <s:v>5</s:v>
      </s:c>
      <s:c r="H3" s="6">
        <s:f>IF(OR(C3="",D3=""),"",IFERROR(VLOOKUP(C3,'Белковые продукты'!$A:$E,5,FALSE)*D3/100,""))</s:f>
        <s:v>3</s:v>
      </s:c>
    </s:row>
    <s:row x14ac:dyDescent="0.2" r="4" spans="1:10">
      <s:c r="A4" s="27"/>
      <s:c r="B4" s="3" t="s">
        <s:v>13</s:v>
      </s:c>
      <s:c r="C4" s="4" t="s">
        <s:v>49</s:v>
      </s:c>
      <s:c r="D4" s="5">
        <s:v>10</s:v>
      </s:c>
      <s:c r="E4" s="6">
        <s:f>IF(OR(C4="",D4=""),"",IFERROR(VLOOKUP(C4,'Жиры и масла'!$A:$E,2,FALSE)*D4/100,""))</s:f>
        <s:v>88.4</s:v>
      </s:c>
      <s:c r="F4" s="6">
        <s:f>IF(OR(C4="",D4=""),"",IFERROR(VLOOKUP(C4,'Жиры и масла'!$A:$E,3,FALSE)*D4/100,""))</s:f>
        <s:v>0</s:v>
      </s:c>
      <s:c r="G4" s="6">
        <s:f>IF(OR(C4="",D4=""),"",IFERROR(VLOOKUP(C4,'Жиры и масла'!$A:$E,4,FALSE)*D4/100,""))</s:f>
        <s:v>10</s:v>
      </s:c>
      <s:c r="H4" s="6">
        <s:f>IF(OR(C4="",D4=""),"",IFERROR(VLOOKUP(C4,'Жиры и масла'!$A:$E,5,FALSE)*D4/100,""))</s:f>
        <s:v>0</s:v>
      </s:c>
    </s:row>
    <s:row x14ac:dyDescent="0.2" r="5" spans="1:10">
      <s:c r="A5" s="3"/>
      <s:c r="B5" s="8" t="s">
        <s:v>14</s:v>
      </s:c>
      <s:c r="C5" s="3"/>
      <s:c r="D5" s="3"/>
      <s:c r="E5" s="9">
        <s:f>SUM(E2:E4)</s:f>
        <s:v>539.4</s:v>
      </s:c>
      <s:c r="F5" s="9">
        <s:f>SUM(F2:F4)</s:f>
        <s:v>29.6</s:v>
      </s:c>
      <s:c r="G5" s="9">
        <s:f>SUM(G2:G4)</s:f>
        <s:v>18.3</s:v>
      </s:c>
      <s:c r="H5" s="9">
        <s:f>SUM(H2:H4)</s:f>
        <s:v>66.900000000000006</s:v>
      </s:c>
    </s:row>
    <s:row x14ac:dyDescent="0.2" r="6" spans="1:10">
      <s:c r="A6" s="30" t="s">
        <s:v>15</s:v>
      </s:c>
      <s:c r="B6" s="10" t="s">
        <s:v>16</s:v>
      </s:c>
      <s:c r="C6" s="4" t="s">
        <s:v>58</s:v>
      </s:c>
      <s:c r="D6" s="5">
        <s:v>120</s:v>
      </s:c>
      <s:c r="E6" s="6">
        <s:f>IF(OR(C6="",D6=""),"",IFERROR(VLOOKUP(C6,'Продукты для перекусов'!$A:$E,2,FALSE)*D6/100,""))</s:f>
        <s:v>338.4</s:v>
      </s:c>
      <s:c r="F6" s="6">
        <s:f>IF(OR(C6="",D6=""),"",IFERROR(VLOOKUP(C6,'Продукты для перекусов'!$A:$E,3,FALSE)*D6/100,""))</s:f>
        <s:v>3</s:v>
      </s:c>
      <s:c r="G6" s="6">
        <s:f>IF(OR(C6="",D6=""),"",IFERROR(VLOOKUP(C6,'Продукты для перекусов'!$A:$E,4,FALSE)*D6/100,""))</s:f>
        <s:v>0.48</s:v>
      </s:c>
      <s:c r="H6" s="6">
        <s:f>IF(OR(C6="",D6=""),"",IFERROR(VLOOKUP(C6,'Продукты для перекусов'!$A:$E,5,FALSE)*D6/100,""))</s:f>
        <s:v>90</s:v>
      </s:c>
    </s:row>
    <s:row x14ac:dyDescent="0.2" r="7" spans="1:10">
      <s:c r="A7" s="26"/>
      <s:c r="B7" s="10" t="s">
        <s:v>12</s:v>
      </s:c>
      <s:c r="C7" s="4"/>
      <s:c r="D7" s="5"/>
      <s:c r="E7" s="6" t="str">
        <s:f>IF(OR(C7="",D7=""),"",IFERROR(VLOOKUP(C7,'Белковые продукты'!$A:$E,2,FALSE)*D7/100,""))</s:f>
        <s:v/>
      </s:c>
      <s:c r="F7" s="6" t="str">
        <s:f>IF(OR(C7="",D7=""),"",IFERROR(VLOOKUP(C7,'Белковые продукты'!$A:$E,3,FALSE)*D7/100,""))</s:f>
        <s:v/>
      </s:c>
      <s:c r="G7" s="6" t="str">
        <s:f>IF(OR(C7="",D7=""),"",IFERROR(VLOOKUP(C7,'Белковые продукты'!$A:$E,4,FALSE)*D7/100,""))</s:f>
        <s:v/>
      </s:c>
      <s:c r="H7" s="6" t="str">
        <s:f>IF(OR(C7="",D7=""),"",IFERROR(VLOOKUP(C7,'Белковые продукты'!$A:$E,5,FALSE)*D7/100,""))</s:f>
        <s:v/>
      </s:c>
    </s:row>
    <s:row x14ac:dyDescent="0.2" r="8" spans="1:10">
      <s:c r="A8" s="27"/>
      <s:c r="B8" s="10" t="s">
        <s:v>13</s:v>
      </s:c>
      <s:c r="C8" s="4"/>
      <s:c r="D8" s="5"/>
      <s:c r="E8" s="6" t="str">
        <s:f>IF(OR(C8="",D8=""),"",IFERROR(VLOOKUP(C8,'Жиры и масла'!$A:$E,2,FALSE)*D8/100,""))</s:f>
        <s:v/>
      </s:c>
      <s:c r="F8" s="6" t="str">
        <s:f>IF(OR(C8="",D8=""),"",IFERROR(VLOOKUP(C8,'Жиры и масла'!$A:$E,3,FALSE)*D8/100,""))</s:f>
        <s:v/>
      </s:c>
      <s:c r="G8" s="6" t="str">
        <s:f>IF(OR(C8="",D8=""),"",IFERROR(VLOOKUP(C8,'Жиры и масла'!$A:$E,4,FALSE)*D8/100,""))</s:f>
        <s:v/>
      </s:c>
      <s:c r="H8" s="6" t="str">
        <s:f>IF(OR(C8="",D8=""),"",IFERROR(VLOOKUP(C8,'Жиры и масла'!$A:$E,5,FALSE)*D8/100,""))</s:f>
        <s:v/>
      </s:c>
    </s:row>
    <s:row x14ac:dyDescent="0.2" r="9" spans="1:10">
      <s:c r="A9" s="10"/>
      <s:c r="B9" s="11" t="s">
        <s:v>14</s:v>
      </s:c>
      <s:c r="C9" s="10"/>
      <s:c r="D9" s="10"/>
      <s:c r="E9" s="12">
        <s:f>SUM(E6:E8)</s:f>
        <s:v>338.4</s:v>
      </s:c>
      <s:c r="F9" s="12">
        <s:f>SUM(F6:F8)</s:f>
        <s:v>3</s:v>
      </s:c>
      <s:c r="G9" s="12">
        <s:f>SUM(G6:G8)</s:f>
        <s:v>0.48</s:v>
      </s:c>
      <s:c r="H9" s="12">
        <s:f>SUM(H6:H8)</s:f>
        <s:v>90</s:v>
      </s:c>
    </s:row>
    <s:row x14ac:dyDescent="0.2" r="10" spans="1:10">
      <s:c r="A10" s="28" t="s">
        <s:v>17</s:v>
      </s:c>
      <s:c r="B10" s="13" t="s">
        <s:v>10</s:v>
      </s:c>
      <s:c r="C10" s="4" t="s">
        <s:v>30</s:v>
      </s:c>
      <s:c r="D10" s="5">
        <s:v>250</s:v>
      </s:c>
      <s:c r="E10" s="6">
        <s:f>IF(OR(C10="",D10=""),"",IFERROR(VLOOKUP(C10,'Злаковые продукты'!$A:$E,2,FALSE)*D10/100,""))</s:f>
        <s:v>327.5</s:v>
      </s:c>
      <s:c r="F10" s="6">
        <s:f>IF(OR(C10="",D10=""),"",IFERROR(VLOOKUP(C10,'Злаковые продукты'!$A:$E,3,FALSE)*D10/100,""))</s:f>
        <s:v>12.5</s:v>
      </s:c>
      <s:c r="G10" s="6">
        <s:f>IF(OR(C10="",D10=""),"",IFERROR(VLOOKUP(C10,'Злаковые продукты'!$A:$E,4,FALSE)*D10/100,""))</s:f>
        <s:v>2.75</s:v>
      </s:c>
      <s:c r="H10" s="6">
        <s:f>IF(OR(C10="",D10=""),"",IFERROR(VLOOKUP(C10,'Злаковые продукты'!$A:$E,5,FALSE)*D10/100,""))</s:f>
        <s:v>62.5</s:v>
      </s:c>
    </s:row>
    <s:row x14ac:dyDescent="0.2" r="11" spans="1:10">
      <s:c r="A11" s="26"/>
      <s:c r="B11" s="13" t="s">
        <s:v>12</s:v>
      </s:c>
      <s:c r="C11" s="4" t="s">
        <s:v>43</s:v>
      </s:c>
      <s:c r="D11" s="5">
        <s:v>150</s:v>
      </s:c>
      <s:c r="E11" s="6">
        <s:f>IF(OR(C11="",D11=""),"",IFERROR(VLOOKUP(C11,'Белковые продукты'!$A:$E,2,FALSE)*D11/100,""))</s:f>
        <s:v>214.5</s:v>
      </s:c>
      <s:c r="F11" s="6">
        <s:f>IF(OR(C11="",D11=""),"",IFERROR(VLOOKUP(C11,'Белковые продукты'!$A:$E,3,FALSE)*D11/100,""))</s:f>
        <s:v>18.899999999999999</s:v>
      </s:c>
      <s:c r="G11" s="6">
        <s:f>IF(OR(C11="",D11=""),"",IFERROR(VLOOKUP(C11,'Белковые продукты'!$A:$E,4,FALSE)*D11/100,""))</s:f>
        <s:v>14.25</s:v>
      </s:c>
      <s:c r="H11" s="6">
        <s:f>IF(OR(C11="",D11=""),"",IFERROR(VLOOKUP(C11,'Белковые продукты'!$A:$E,5,FALSE)*D11/100,""))</s:f>
        <s:v>1.05</s:v>
      </s:c>
    </s:row>
    <s:row x14ac:dyDescent="0.2" r="12" spans="1:10">
      <s:c r="A12" s="27"/>
      <s:c r="B12" s="13" t="s">
        <s:v>13</s:v>
      </s:c>
      <s:c r="C12" s="4" t="s">
        <s:v>53</s:v>
      </s:c>
      <s:c r="D12" s="5">
        <s:v>10</s:v>
      </s:c>
      <s:c r="E12" s="6">
        <s:f>IF(OR(C12="",D12=""),"",IFERROR(VLOOKUP(C12,'Жиры и масла'!$A:$E,2,FALSE)*D12/100,""))</s:f>
        <s:v>74.8</s:v>
      </s:c>
      <s:c r="F12" s="6">
        <s:f>IF(OR(C12="",D12=""),"",IFERROR(VLOOKUP(C12,'Жиры и масла'!$A:$E,3,FALSE)*D12/100,""))</s:f>
        <s:v>0.05</s:v>
      </s:c>
      <s:c r="G12" s="6">
        <s:f>IF(OR(C12="",D12=""),"",IFERROR(VLOOKUP(C12,'Жиры и масла'!$A:$E,4,FALSE)*D12/100,""))</s:f>
        <s:v>8.25</s:v>
      </s:c>
      <s:c r="H12" s="6">
        <s:f>IF(OR(C12="",D12=""),"",IFERROR(VLOOKUP(C12,'Жиры и масла'!$A:$E,5,FALSE)*D12/100,""))</s:f>
        <s:v>0.08</s:v>
      </s:c>
    </s:row>
    <s:row x14ac:dyDescent="0.2" r="13" spans="1:10">
      <s:c r="A13" s="13"/>
      <s:c r="B13" s="14" t="s">
        <s:v>14</s:v>
      </s:c>
      <s:c r="C13" s="13"/>
      <s:c r="D13" s="13"/>
      <s:c r="E13" s="15">
        <s:f>SUM(E10:E12)</s:f>
        <s:v>616.79999999999995</s:v>
      </s:c>
      <s:c r="F13" s="15">
        <s:f>SUM(F10:F12)</s:f>
        <s:v>31.45</s:v>
      </s:c>
      <s:c r="G13" s="15">
        <s:f>SUM(G10:G12)</s:f>
        <s:v>25.25</s:v>
      </s:c>
      <s:c r="H13" s="15">
        <s:f>SUM(H10:H12)</s:f>
        <s:v>63.629999999999995</s:v>
      </s:c>
    </s:row>
    <s:row x14ac:dyDescent="0.2" r="14" spans="1:10">
      <s:c r="A14" s="29" t="s">
        <s:v>18</s:v>
      </s:c>
      <s:c r="B14" s="16" t="s">
        <s:v>16</s:v>
      </s:c>
      <s:c r="C14" s="4"/>
      <s:c r="D14" s="5"/>
      <s:c r="E14" s="6" t="str">
        <s:f>IF(OR(C14="",D14=""),"",IFERROR(VLOOKUP(C14,'Продукты для перекусов'!$A:$E,2,FALSE)*D14/100,""))</s:f>
        <s:v/>
      </s:c>
      <s:c r="F14" s="6" t="str">
        <s:f>IF(OR(C14="",D14=""),"",IFERROR(VLOOKUP(C14,'Продукты для перекусов'!$A:$E,3,FALSE)*D14/100,""))</s:f>
        <s:v/>
      </s:c>
      <s:c r="G14" s="6" t="str">
        <s:f>IF(OR(C14="",D14=""),"",IFERROR(VLOOKUP(C14,'Продукты для перекусов'!$A:$E,4,FALSE)*D14/100,""))</s:f>
        <s:v/>
      </s:c>
      <s:c r="H14" s="6" t="str">
        <s:f>IF(OR(C14="",D14=""),"",IFERROR(VLOOKUP(C14,'Продукты для перекусов'!$A:$E,5,FALSE)*D14/100,""))</s:f>
        <s:v/>
      </s:c>
    </s:row>
    <s:row x14ac:dyDescent="0.2" r="15" spans="1:10">
      <s:c r="A15" s="26"/>
      <s:c r="B15" s="16" t="s">
        <s:v>12</s:v>
      </s:c>
      <s:c r="C15" s="4"/>
      <s:c r="D15" s="5"/>
      <s:c r="E15" s="6" t="str">
        <s:f>IF(OR(C15="",D15=""),"",IFERROR(VLOOKUP(C15,'Белковые продукты'!$A:$E,2,FALSE)*D15/100,""))</s:f>
        <s:v/>
      </s:c>
      <s:c r="F15" s="6" t="str">
        <s:f>IF(OR(C15="",D15=""),"",IFERROR(VLOOKUP(C15,'Белковые продукты'!$A:$E,3,FALSE)*D15/100,""))</s:f>
        <s:v/>
      </s:c>
      <s:c r="G15" s="6" t="str">
        <s:f>IF(OR(C15="",D15=""),"",IFERROR(VLOOKUP(C15,'Белковые продукты'!$A:$E,4,FALSE)*D15/100,""))</s:f>
        <s:v/>
      </s:c>
      <s:c r="H15" s="6" t="str">
        <s:f>IF(OR(C15="",D15=""),"",IFERROR(VLOOKUP(C15,'Белковые продукты'!$A:$E,5,FALSE)*D15/100,""))</s:f>
        <s:v/>
      </s:c>
    </s:row>
    <s:row x14ac:dyDescent="0.2" r="16" spans="1:10">
      <s:c r="A16" s="27"/>
      <s:c r="B16" s="16" t="s">
        <s:v>13</s:v>
      </s:c>
      <s:c r="C16" s="4"/>
      <s:c r="D16" s="5"/>
      <s:c r="E16" s="6" t="str">
        <s:f>IF(OR(C16="",D16=""),"",IFERROR(VLOOKUP(C16,'Жиры и масла'!$A:$E,2,FALSE)*D16/100,""))</s:f>
        <s:v/>
      </s:c>
      <s:c r="F16" s="6" t="str">
        <s:f>IF(OR(C16="",D16=""),"",IFERROR(VLOOKUP(C16,'Жиры и масла'!$A:$E,3,FALSE)*D16/100,""))</s:f>
        <s:v/>
      </s:c>
      <s:c r="G16" s="6" t="str">
        <s:f>IF(OR(C16="",D16=""),"",IFERROR(VLOOKUP(C16,'Жиры и масла'!$A:$E,4,FALSE)*D16/100,""))</s:f>
        <s:v/>
      </s:c>
      <s:c r="H16" s="6" t="str">
        <s:f>IF(OR(C16="",D16=""),"",IFERROR(VLOOKUP(C16,'Жиры и масла'!$A:$E,5,FALSE)*D16/100,""))</s:f>
        <s:v/>
      </s:c>
    </s:row>
    <s:row x14ac:dyDescent="0.2" r="17" spans="1:8">
      <s:c r="A17" s="16"/>
      <s:c r="B17" s="17" t="s">
        <s:v>14</s:v>
      </s:c>
      <s:c r="C17" s="16"/>
      <s:c r="D17" s="16"/>
      <s:c r="E17" s="18">
        <s:f>SUM(E14:E16)</s:f>
        <s:v>0</s:v>
      </s:c>
      <s:c r="F17" s="18">
        <s:f>SUM(F14:F16)</s:f>
        <s:v>0</s:v>
      </s:c>
      <s:c r="G17" s="18">
        <s:f>SUM(G14:G16)</s:f>
        <s:v>0</s:v>
      </s:c>
      <s:c r="H17" s="18">
        <s:f>SUM(H14:H16)</s:f>
        <s:v>0</s:v>
      </s:c>
    </s:row>
    <s:row x14ac:dyDescent="0.2" r="18" spans="1:8">
      <s:c r="A18" s="31" t="s">
        <s:v>19</s:v>
      </s:c>
      <s:c r="B18" s="4" t="s">
        <s:v>10</s:v>
      </s:c>
      <s:c r="C18" s="4" t="s">
        <s:v>21</s:v>
      </s:c>
      <s:c r="D18" s="5">
        <s:v>250</s:v>
      </s:c>
      <s:c r="E18" s="6">
        <s:f>IF(OR(C18="",D18=""),"",IFERROR(VLOOKUP(C18,'Злаковые продукты'!$A:$E,2,FALSE)*D18/100,""))</s:f>
        <s:v>325</s:v>
      </s:c>
      <s:c r="F18" s="6">
        <s:f>IF(OR(C18="",D18=""),"",IFERROR(VLOOKUP(C18,'Злаковые продукты'!$A:$E,3,FALSE)*D18/100,""))</s:f>
        <s:v>6.75</s:v>
      </s:c>
      <s:c r="G18" s="6">
        <s:f>IF(OR(C18="",D18=""),"",IFERROR(VLOOKUP(C18,'Злаковые продукты'!$A:$E,4,FALSE)*D18/100,""))</s:f>
        <s:v>0.75</s:v>
      </s:c>
      <s:c r="H18" s="6">
        <s:f>IF(OR(C18="",D18=""),"",IFERROR(VLOOKUP(C18,'Злаковые продукты'!$A:$E,5,FALSE)*D18/100,""))</s:f>
        <s:v>70.5</s:v>
      </s:c>
    </s:row>
    <s:row x14ac:dyDescent="0.2" r="19" spans="1:8">
      <s:c r="A19" s="26"/>
      <s:c r="B19" s="4" t="s">
        <s:v>12</s:v>
      </s:c>
      <s:c r="C19" s="4" t="s">
        <s:v>36</s:v>
      </s:c>
      <s:c r="D19" s="5">
        <s:v>150</s:v>
      </s:c>
      <s:c r="E19" s="6">
        <s:f>IF(OR(C19="",D19=""),"",IFERROR(VLOOKUP(C19,'Белковые продукты'!$A:$E,2,FALSE)*D19/100,""))</s:f>
        <s:v>258</s:v>
      </s:c>
      <s:c r="F19" s="6">
        <s:f>IF(OR(C19="",D19=""),"",IFERROR(VLOOKUP(C19,'Белковые продукты'!$A:$E,3,FALSE)*D19/100,""))</s:f>
        <s:v>45</s:v>
      </s:c>
      <s:c r="G19" s="6">
        <s:f>IF(OR(C19="",D19=""),"",IFERROR(VLOOKUP(C19,'Белковые продукты'!$A:$E,4,FALSE)*D19/100,""))</s:f>
        <s:v>7.5</s:v>
      </s:c>
      <s:c r="H19" s="6">
        <s:f>IF(OR(C19="",D19=""),"",IFERROR(VLOOKUP(C19,'Белковые продукты'!$A:$E,5,FALSE)*D19/100,""))</s:f>
        <s:v>0</s:v>
      </s:c>
    </s:row>
    <s:row x14ac:dyDescent="0.2" r="20" spans="1:8">
      <s:c r="A20" s="27"/>
      <s:c r="B20" s="4" t="s">
        <s:v>13</s:v>
      </s:c>
      <s:c r="C20" s="4" t="s">
        <s:v>53</s:v>
      </s:c>
      <s:c r="D20" s="5">
        <s:v>10</s:v>
      </s:c>
      <s:c r="E20" s="6">
        <s:f>IF(OR(C20="",D20=""),"",IFERROR(VLOOKUP(C20,'Жиры и масла'!$A:$E,2,FALSE)*D20/100,""))</s:f>
        <s:v>74.8</s:v>
      </s:c>
      <s:c r="F20" s="6">
        <s:f>IF(OR(C20="",D20=""),"",IFERROR(VLOOKUP(C20,'Жиры и масла'!$A:$E,3,FALSE)*D20/100,""))</s:f>
        <s:v>0.05</s:v>
      </s:c>
      <s:c r="G20" s="6">
        <s:f>IF(OR(C20="",D20=""),"",IFERROR(VLOOKUP(C20,'Жиры и масла'!$A:$E,4,FALSE)*D20/100,""))</s:f>
        <s:v>8.25</s:v>
      </s:c>
      <s:c r="H20" s="6">
        <s:f>IF(OR(C20="",D20=""),"",IFERROR(VLOOKUP(C20,'Жиры и масла'!$A:$E,5,FALSE)*D20/100,""))</s:f>
        <s:v>0.08</s:v>
      </s:c>
    </s:row>
    <s:row x14ac:dyDescent="0.2" r="21" spans="1:8">
      <s:c r="A21" s="4"/>
      <s:c r="B21" s="19" t="s">
        <s:v>14</s:v>
      </s:c>
      <s:c r="C21" s="4"/>
      <s:c r="D21" s="4"/>
      <s:c r="E21" s="20">
        <s:f>SUM(E18:E20)</s:f>
        <s:v>657.8</s:v>
      </s:c>
      <s:c r="F21" s="20">
        <s:f>SUM(F18:F20)</s:f>
        <s:v>51.8</s:v>
      </s:c>
      <s:c r="G21" s="20">
        <s:f>SUM(G18:G20)</s:f>
        <s:v>16.5</s:v>
      </s:c>
      <s:c r="H21" s="20">
        <s:f>SUM(H18:H20)</s:f>
        <s:v>70.58</s:v>
      </s:c>
    </s:row>
    <s:row x14ac:dyDescent="0.2" r="22" spans="1:8">
      <s:c r="A22" s="21" t="s">
        <s:v>20</s:v>
      </s:c>
      <s:c r="B22" s="21"/>
      <s:c r="C22" s="21"/>
      <s:c r="D22" s="21"/>
      <s:c r="E22" s="22">
        <s:f validation_="true">SUM(E5,E9,E13,E17,E21)</s:f>
        <s:v>2152.39999999999</s:v>
      </s:c>
      <s:c r="F22" s="22">
        <s:f>SUM(F5,F9,F13,F17,F21)</s:f>
        <s:v>115.85</s:v>
      </s:c>
      <s:c r="G22" s="22">
        <s:f>SUM(G5,G9,G13,G17,G21)</s:f>
        <s:v>60.53</s:v>
      </s:c>
      <s:c r="H22" s="22">
        <s:f>SUM(H5,H9,H13,H17,H21)</s:f>
        <s:v>291.11</s:v>
      </s:c>
    </s:row>
    <s:row x14ac:dyDescent="0.2" r="23" spans="1:8">
      <s:c r="D23"/>
      <s:c r="E23"/>
      <s:c r="F23"/>
      <s:c r="G23"/>
      <s:c r="H23"/>
    </s:row>
    <s:row r="25" spans="1:8">
      <s:c r="F25"/>
      <s:c r="G25" s="32"/>
    </s:row>
    <s:row r="26" spans="1:8">
      <s:c r="G26"/>
    </s:row>
  </s:sheetData>
  <s:autoFilter xr:uid="{00000000-0009-0000-0000-000000000000}" ref="A1:H22"/>
  <s:mergeCells count="5">
    <s:mergeCell ref="A2:A4"/>
    <s:mergeCell ref="A10:A12"/>
    <s:mergeCell ref="A14:A16"/>
    <s:mergeCell ref="A6:A8"/>
    <s:mergeCell ref="A18:A20"/>
  </s:mergeCells>
  <s:dataValidations count="4">
    <s:dataValidation xr:uid="{00000000-0002-0000-0000-000000000000}" type="list" allowBlank="1" sqref="C2 C10 C18" vyd:viewType="arrow" mc:Ignorable="vyd">
      <s:formula1>GrainList</s:formula1>
    </s:dataValidation>
    <s:dataValidation xr:uid="{00000000-0002-0000-0000-000001000000}" type="list" allowBlank="1" sqref="C3 C7 C11 C15 C19" vyd:viewType="arrow" mc:Ignorable="vyd">
      <s:formula1>ProteinList</s:formula1>
    </s:dataValidation>
    <s:dataValidation xr:uid="{00000000-0002-0000-0000-000002000000}" type="list" allowBlank="1" sqref="C4 C8 C12 C16 C20" vyd:viewType="arrow" mc:Ignorable="vyd">
      <s:formula1>FatList</s:formula1>
    </s:dataValidation>
    <s:dataValidation xr:uid="{00000000-0002-0000-0000-000003000000}" type="list" allowBlank="1" sqref="C6 C14" vyd:viewType="arrow" mc:Ignorable="vyd">
      <s:formula1>SnackList</s:formula1>
    </s:dataValidation>
  </s:dataValidations>
  <s:pageMargins left="0.75" right="0.75" top="1" bottom="1" header="0.5" footer="0.5"/>
</s:worksheet>
</file>

<file path=xl/worksheets/sheet2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100-000000000000}">
  <s:dimension ref="A1:E13"/>
  <s:sheetViews>
    <s:sheetView tabSelected="0" workbookViewId="0">
      <s:pane ySplit="1" topLeftCell="A2" activePane="bottomLeft" state="frozen"/>
      <s:selection pane="bottomLeft"/>
    </s:sheetView>
  </s:sheetViews>
  <s:sheetFormatPr x14ac:dyDescent="0.2" baseColWidth="10" defaultColWidth="8.832" defaultRowHeight="15"/>
  <s:cols>
    <s:col min="1" max="1" width="32" customWidth="1"/>
    <s:col min="2" max="5" width="14" customWidth="1"/>
  </s:cols>
  <s:sheetData>
    <s:row x14ac:dyDescent="0.2" r="1" spans="1:5">
      <s:c r="A1" s="23" t="s">
        <s:v>2</s:v>
      </s:c>
      <s:c r="B1" s="23" t="s">
        <s:v>4</s:v>
      </s:c>
      <s:c r="C1" s="23" t="s">
        <s:v>5</s:v>
      </s:c>
      <s:c r="D1" s="23" t="s">
        <s:v>6</s:v>
      </s:c>
      <s:c r="E1" s="23" t="s">
        <s:v>7</s:v>
      </s:c>
    </s:row>
    <s:row x14ac:dyDescent="0.2" r="2" spans="1:5">
      <s:c r="A2" s="24" t="s">
        <s:v>21</s:v>
      </s:c>
      <s:c r="B2" s="24">
        <s:v>130</s:v>
      </s:c>
      <s:c r="C2" s="24">
        <s:v>2.7</s:v>
      </s:c>
      <s:c r="D2" s="24">
        <s:v>0.3</s:v>
      </s:c>
      <s:c r="E2" s="24">
        <s:v>28.2</s:v>
      </s:c>
    </s:row>
    <s:row x14ac:dyDescent="0.2" r="3" spans="1:5">
      <s:c r="A3" s="24" t="s">
        <s:v>22</s:v>
      </s:c>
      <s:c r="B3" s="24">
        <s:v>123</s:v>
      </s:c>
      <s:c r="C3" s="24">
        <s:v>2.7</s:v>
      </s:c>
      <s:c r="D3" s="24">
        <s:v>1</s:v>
      </s:c>
      <s:c r="E3" s="24">
        <s:v>25.6</s:v>
      </s:c>
    </s:row>
    <s:row x14ac:dyDescent="0.2" r="4" spans="1:5">
      <s:c r="A4" s="24" t="s">
        <s:v>23</s:v>
      </s:c>
      <s:c r="B4" s="24">
        <s:v>110</s:v>
      </s:c>
      <s:c r="C4" s="24">
        <s:v>4.2</s:v>
      </s:c>
      <s:c r="D4" s="24">
        <s:v>1.1000000000000001</s:v>
      </s:c>
      <s:c r="E4" s="24">
        <s:v>21.3</s:v>
      </s:c>
    </s:row>
    <s:row x14ac:dyDescent="0.2" r="5" spans="1:5">
      <s:c r="A5" s="24" t="s">
        <s:v>24</s:v>
      </s:c>
      <s:c r="B5" s="24">
        <s:v>71</s:v>
      </s:c>
      <s:c r="C5" s="24">
        <s:v>2.5</s:v>
      </s:c>
      <s:c r="D5" s="24">
        <s:v>1.5</s:v>
      </s:c>
      <s:c r="E5" s="24">
        <s:v>12</s:v>
      </s:c>
    </s:row>
    <s:row x14ac:dyDescent="0.2" r="6" spans="1:5">
      <s:c r="A6" s="24" t="s">
        <s:v>25</s:v>
      </s:c>
      <s:c r="B6" s="24">
        <s:v>83</s:v>
      </s:c>
      <s:c r="C6" s="24">
        <s:v>3.1</s:v>
      </s:c>
      <s:c r="D6" s="24">
        <s:v>0.2</s:v>
      </s:c>
      <s:c r="E6" s="24">
        <s:v>18.600000000000001</s:v>
      </s:c>
    </s:row>
    <s:row x14ac:dyDescent="0.2" r="7" spans="1:5">
      <s:c r="A7" s="24" t="s">
        <s:v>26</s:v>
      </s:c>
      <s:c r="B7" s="24">
        <s:v>112</s:v>
      </s:c>
      <s:c r="C7" s="24">
        <s:v>3.8</s:v>
      </s:c>
      <s:c r="D7" s="24">
        <s:v>0.2</s:v>
      </s:c>
      <s:c r="E7" s="24">
        <s:v>23.2</s:v>
      </s:c>
    </s:row>
    <s:row x14ac:dyDescent="0.2" r="8" spans="1:5">
      <s:c r="A8" s="24" t="s">
        <s:v>27</s:v>
      </s:c>
      <s:c r="B8" s="24">
        <s:v>120</s:v>
      </s:c>
      <s:c r="C8" s="24">
        <s:v>4.4000000000000004</s:v>
      </s:c>
      <s:c r="D8" s="24">
        <s:v>1.9</s:v>
      </s:c>
      <s:c r="E8" s="24">
        <s:v>21.3</s:v>
      </s:c>
    </s:row>
    <s:row x14ac:dyDescent="0.2" r="9" spans="1:5">
      <s:c r="A9" s="24" t="s">
        <s:v>28</s:v>
      </s:c>
      <s:c r="B9" s="24">
        <s:v>123</s:v>
      </s:c>
      <s:c r="C9" s="24">
        <s:v>2.2999999999999998</s:v>
      </s:c>
      <s:c r="D9" s="24">
        <s:v>0.4</s:v>
      </s:c>
      <s:c r="E9" s="24">
        <s:v>28.2</s:v>
      </s:c>
    </s:row>
    <s:row x14ac:dyDescent="0.2" r="10" spans="1:5">
      <s:c r="A10" s="24" t="s">
        <s:v>29</s:v>
      </s:c>
      <s:c r="B10" s="24">
        <s:v>119</s:v>
      </s:c>
      <s:c r="C10" s="24">
        <s:v>3.5</s:v>
      </s:c>
      <s:c r="D10" s="24">
        <s:v>1</s:v>
      </s:c>
      <s:c r="E10" s="24">
        <s:v>23.7</s:v>
      </s:c>
    </s:row>
    <s:row x14ac:dyDescent="0.2" r="11" spans="1:5">
      <s:c r="A11" s="24" t="s">
        <s:v>30</s:v>
      </s:c>
      <s:c r="B11" s="24">
        <s:v>131</s:v>
      </s:c>
      <s:c r="C11" s="24">
        <s:v>5</s:v>
      </s:c>
      <s:c r="D11" s="24">
        <s:v>1.1000000000000001</s:v>
      </s:c>
      <s:c r="E11" s="24">
        <s:v>25</s:v>
      </s:c>
    </s:row>
    <s:row x14ac:dyDescent="0.2" r="12" spans="1:5">
      <s:c r="A12" s="24" t="s">
        <s:v>31</s:v>
      </s:c>
      <s:c r="B12" s="24">
        <s:v>87</s:v>
      </s:c>
      <s:c r="C12" s="24">
        <s:v>1.9</s:v>
      </s:c>
      <s:c r="D12" s="24">
        <s:v>0.1</s:v>
      </s:c>
      <s:c r="E12" s="24">
        <s:v>20.100000000000001</s:v>
      </s:c>
    </s:row>
    <s:row x14ac:dyDescent="0.2" r="13" spans="1:5">
      <s:c r="A13" s="24" t="s">
        <s:v>32</s:v>
      </s:c>
      <s:c r="B13" s="24">
        <s:v>247</s:v>
      </s:c>
      <s:c r="C13" s="24">
        <s:v>13</s:v>
      </s:c>
      <s:c r="D13" s="24">
        <s:v>4.2</s:v>
      </s:c>
      <s:c r="E13" s="24">
        <s:v>41</s:v>
      </s:c>
    </s:row>
  </s:sheetData>
  <s:autoFilter xr:uid="{00000000-0009-0000-0000-000001000000}" ref="A1:E13"/>
  <s:pageMargins left="0.75" right="0.75" top="1" bottom="1" header="0.5" footer="0.5"/>
</s:worksheet>
</file>

<file path=xl/worksheets/sheet3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200-000000000000}">
  <s:dimension ref="A1:E16"/>
  <s:sheetViews>
    <s:sheetView tabSelected="0" workbookViewId="0">
      <s:pane ySplit="1" topLeftCell="A2" activePane="bottomLeft" state="frozen"/>
      <s:selection pane="bottomLeft"/>
    </s:sheetView>
  </s:sheetViews>
  <s:sheetFormatPr x14ac:dyDescent="0.2" baseColWidth="10" defaultColWidth="8.832" defaultRowHeight="15"/>
  <s:cols>
    <s:col min="1" max="1" width="32" customWidth="1"/>
    <s:col min="2" max="5" width="14" customWidth="1"/>
  </s:cols>
  <s:sheetData>
    <s:row x14ac:dyDescent="0.2" r="1" spans="1:5">
      <s:c r="A1" s="23" t="s">
        <s:v>2</s:v>
      </s:c>
      <s:c r="B1" s="23" t="s">
        <s:v>4</s:v>
      </s:c>
      <s:c r="C1" s="23" t="s">
        <s:v>5</s:v>
      </s:c>
      <s:c r="D1" s="23" t="s">
        <s:v>6</s:v>
      </s:c>
      <s:c r="E1" s="23" t="s">
        <s:v>7</s:v>
      </s:c>
    </s:row>
    <s:row x14ac:dyDescent="0.2" r="2" spans="1:5">
      <s:c r="A2" s="24" t="s">
        <s:v>33</s:v>
      </s:c>
      <s:c r="B2" s="24">
        <s:v>165</s:v>
      </s:c>
      <s:c r="C2" s="24">
        <s:v>31</s:v>
      </s:c>
      <s:c r="D2" s="24">
        <s:v>3.6</s:v>
      </s:c>
      <s:c r="E2" s="24">
        <s:v>0</s:v>
      </s:c>
    </s:row>
    <s:row x14ac:dyDescent="0.2" r="3" spans="1:5">
      <s:c r="A3" s="24" t="s">
        <s:v>34</s:v>
      </s:c>
      <s:c r="B3" s="24">
        <s:v>135</s:v>
      </s:c>
      <s:c r="C3" s="24">
        <s:v>29</s:v>
      </s:c>
      <s:c r="D3" s="24">
        <s:v>1.6</s:v>
      </s:c>
      <s:c r="E3" s="24">
        <s:v>0</s:v>
      </s:c>
    </s:row>
    <s:row x14ac:dyDescent="0.2" r="4" spans="1:5">
      <s:c r="A4" s="24" t="s">
        <s:v>35</s:v>
      </s:c>
      <s:c r="B4" s="24">
        <s:v>200</s:v>
      </s:c>
      <s:c r="C4" s="24">
        <s:v>29</s:v>
      </s:c>
      <s:c r="D4" s="24">
        <s:v>8</s:v>
      </s:c>
      <s:c r="E4" s="24">
        <s:v>0</s:v>
      </s:c>
    </s:row>
    <s:row x14ac:dyDescent="0.2" r="5" spans="1:5">
      <s:c r="A5" s="24" t="s">
        <s:v>36</s:v>
      </s:c>
      <s:c r="B5" s="24">
        <s:v>172</s:v>
      </s:c>
      <s:c r="C5" s="24">
        <s:v>30</s:v>
      </s:c>
      <s:c r="D5" s="24">
        <s:v>5</s:v>
      </s:c>
      <s:c r="E5" s="24">
        <s:v>0</s:v>
      </s:c>
    </s:row>
    <s:row x14ac:dyDescent="0.2" r="6" spans="1:5">
      <s:c r="A6" s="24" t="s">
        <s:v>37</s:v>
      </s:c>
      <s:c r="B6" s="24">
        <s:v>195</s:v>
      </s:c>
      <s:c r="C6" s="24">
        <s:v>29</s:v>
      </s:c>
      <s:c r="D6" s="24">
        <s:v>8</s:v>
      </s:c>
      <s:c r="E6" s="24">
        <s:v>0</s:v>
      </s:c>
    </s:row>
    <s:row x14ac:dyDescent="0.2" r="7" spans="1:5">
      <s:c r="A7" s="24" t="s">
        <s:v>38</s:v>
      </s:c>
      <s:c r="B7" s="24">
        <s:v>105</s:v>
      </s:c>
      <s:c r="C7" s="24">
        <s:v>23</s:v>
      </s:c>
      <s:c r="D7" s="24">
        <s:v>0.9</s:v>
      </s:c>
      <s:c r="E7" s="24">
        <s:v>0</s:v>
      </s:c>
    </s:row>
    <s:row x14ac:dyDescent="0.2" r="8" spans="1:5">
      <s:c r="A8" s="24" t="s">
        <s:v>39</s:v>
      </s:c>
      <s:c r="B8" s="24">
        <s:v>111</s:v>
      </s:c>
      <s:c r="C8" s="24">
        <s:v>23</s:v>
      </s:c>
      <s:c r="D8" s="24">
        <s:v>2</s:v>
      </s:c>
      <s:c r="E8" s="24">
        <s:v>0</s:v>
      </s:c>
    </s:row>
    <s:row x14ac:dyDescent="0.2" r="9" spans="1:5">
      <s:c r="A9" s="24" t="s">
        <s:v>40</s:v>
      </s:c>
      <s:c r="B9" s="24">
        <s:v>206</s:v>
      </s:c>
      <s:c r="C9" s="24">
        <s:v>22</s:v>
      </s:c>
      <s:c r="D9" s="24">
        <s:v>12</s:v>
      </s:c>
      <s:c r="E9" s="24">
        <s:v>0</s:v>
      </s:c>
    </s:row>
    <s:row x14ac:dyDescent="0.2" r="10" spans="1:5">
      <s:c r="A10" s="24" t="s">
        <s:v>41</s:v>
      </s:c>
      <s:c r="B10" s="24">
        <s:v>116</s:v>
      </s:c>
      <s:c r="C10" s="24">
        <s:v>26</s:v>
      </s:c>
      <s:c r="D10" s="24">
        <s:v>1</s:v>
      </s:c>
      <s:c r="E10" s="24">
        <s:v>0</s:v>
      </s:c>
    </s:row>
    <s:row x14ac:dyDescent="0.2" r="11" spans="1:5">
      <s:c r="A11" s="24" t="s">
        <s:v>42</s:v>
      </s:c>
      <s:c r="B11" s="24">
        <s:v>99</s:v>
      </s:c>
      <s:c r="C11" s="24">
        <s:v>24</s:v>
      </s:c>
      <s:c r="D11" s="24">
        <s:v>0.3</s:v>
      </s:c>
      <s:c r="E11" s="24">
        <s:v>0.2</s:v>
      </s:c>
    </s:row>
    <s:row x14ac:dyDescent="0.2" r="12" spans="1:5">
      <s:c r="A12" s="24" t="s">
        <s:v>43</s:v>
      </s:c>
      <s:c r="B12" s="24">
        <s:v>143</s:v>
      </s:c>
      <s:c r="C12" s="24">
        <s:v>12.6</s:v>
      </s:c>
      <s:c r="D12" s="24">
        <s:v>9.5</s:v>
      </s:c>
      <s:c r="E12" s="24">
        <s:v>0.7</s:v>
      </s:c>
    </s:row>
    <s:row x14ac:dyDescent="0.2" r="13" spans="1:5">
      <s:c r="A13" s="24" t="s">
        <s:v>44</s:v>
      </s:c>
      <s:c r="B13" s="24">
        <s:v>103</s:v>
      </s:c>
      <s:c r="C13" s="24">
        <s:v>18</s:v>
      </s:c>
      <s:c r="D13" s="24">
        <s:v>2</s:v>
      </s:c>
      <s:c r="E13" s="24">
        <s:v>3.3</s:v>
      </s:c>
    </s:row>
    <s:row x14ac:dyDescent="0.2" r="14" spans="1:5">
      <s:c r="A14" s="24" t="s">
        <s:v>45</s:v>
      </s:c>
      <s:c r="B14" s="24">
        <s:v>121</s:v>
      </s:c>
      <s:c r="C14" s="24">
        <s:v>17</s:v>
      </s:c>
      <s:c r="D14" s="24">
        <s:v>5</s:v>
      </s:c>
      <s:c r="E14" s="24">
        <s:v>3</s:v>
      </s:c>
    </s:row>
    <s:row x14ac:dyDescent="0.2" r="15" spans="1:5">
      <s:c r="A15" s="24" t="s">
        <s:v>46</s:v>
      </s:c>
      <s:c r="B15" s="24">
        <s:v>73</s:v>
      </s:c>
      <s:c r="C15" s="24">
        <s:v>9.9</s:v>
      </s:c>
      <s:c r="D15" s="24">
        <s:v>2</s:v>
      </s:c>
      <s:c r="E15" s="24">
        <s:v>3.9</s:v>
      </s:c>
    </s:row>
    <s:row x14ac:dyDescent="0.2" r="16" spans="1:5">
      <s:c r="A16" s="24" t="s">
        <s:v>47</s:v>
      </s:c>
      <s:c r="B16" s="24">
        <s:v>144</s:v>
      </s:c>
      <s:c r="C16" s="24">
        <s:v>17</s:v>
      </s:c>
      <s:c r="D16" s="24">
        <s:v>9</s:v>
      </s:c>
      <s:c r="E16" s="24">
        <s:v>2.8</s:v>
      </s:c>
    </s:row>
  </s:sheetData>
  <s:autoFilter xr:uid="{00000000-0009-0000-0000-000002000000}" ref="A1:E16"/>
  <s:pageMargins left="0.75" right="0.75" top="1" bottom="1" header="0.5" footer="0.5"/>
</s:worksheet>
</file>

<file path=xl/worksheets/sheet4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300-000000000000}">
  <s:dimension ref="A1:E8"/>
  <s:sheetViews>
    <s:sheetView tabSelected="0" workbookViewId="0">
      <s:pane ySplit="1" topLeftCell="A2" activePane="bottomLeft" state="frozen"/>
      <s:selection pane="bottomLeft"/>
    </s:sheetView>
  </s:sheetViews>
  <s:sheetFormatPr x14ac:dyDescent="0.2" baseColWidth="10" defaultColWidth="8.832" defaultRowHeight="15"/>
  <s:cols>
    <s:col min="1" max="1" width="32" customWidth="1"/>
    <s:col min="2" max="5" width="14" customWidth="1"/>
  </s:cols>
  <s:sheetData>
    <s:row x14ac:dyDescent="0.2" r="1" spans="1:5">
      <s:c r="A1" s="23" t="s">
        <s:v>2</s:v>
      </s:c>
      <s:c r="B1" s="23" t="s">
        <s:v>4</s:v>
      </s:c>
      <s:c r="C1" s="23" t="s">
        <s:v>5</s:v>
      </s:c>
      <s:c r="D1" s="23" t="s">
        <s:v>6</s:v>
      </s:c>
      <s:c r="E1" s="23" t="s">
        <s:v>7</s:v>
      </s:c>
    </s:row>
    <s:row x14ac:dyDescent="0.2" r="2" spans="1:5">
      <s:c r="A2" s="24" t="s">
        <s:v>48</s:v>
      </s:c>
      <s:c r="B2" s="24">
        <s:v>884</s:v>
      </s:c>
      <s:c r="C2" s="24">
        <s:v>0</s:v>
      </s:c>
      <s:c r="D2" s="24">
        <s:v>100</s:v>
      </s:c>
      <s:c r="E2" s="24">
        <s:v>0</s:v>
      </s:c>
    </s:row>
    <s:row x14ac:dyDescent="0.2" r="3" spans="1:5">
      <s:c r="A3" s="24" t="s">
        <s:v>49</s:v>
      </s:c>
      <s:c r="B3" s="24">
        <s:v>884</s:v>
      </s:c>
      <s:c r="C3" s="24">
        <s:v>0</s:v>
      </s:c>
      <s:c r="D3" s="24">
        <s:v>100</s:v>
      </s:c>
      <s:c r="E3" s="24">
        <s:v>0</s:v>
      </s:c>
    </s:row>
    <s:row x14ac:dyDescent="0.2" r="4" spans="1:5">
      <s:c r="A4" s="24" t="s">
        <s:v>50</s:v>
      </s:c>
      <s:c r="B4" s="24">
        <s:v>884</s:v>
      </s:c>
      <s:c r="C4" s="24">
        <s:v>0</s:v>
      </s:c>
      <s:c r="D4" s="24">
        <s:v>100</s:v>
      </s:c>
      <s:c r="E4" s="24">
        <s:v>0</s:v>
      </s:c>
    </s:row>
    <s:row x14ac:dyDescent="0.2" r="5" spans="1:5">
      <s:c r="A5" s="24" t="s">
        <s:v>51</s:v>
      </s:c>
      <s:c r="B5" s="24">
        <s:v>884</s:v>
      </s:c>
      <s:c r="C5" s="24">
        <s:v>0</s:v>
      </s:c>
      <s:c r="D5" s="24">
        <s:v>100</s:v>
      </s:c>
      <s:c r="E5" s="24">
        <s:v>0</s:v>
      </s:c>
    </s:row>
    <s:row x14ac:dyDescent="0.2" r="6" spans="1:5">
      <s:c r="A6" s="24" t="s">
        <s:v>52</s:v>
      </s:c>
      <s:c r="B6" s="24">
        <s:v>892</s:v>
      </s:c>
      <s:c r="C6" s="24">
        <s:v>0</s:v>
      </s:c>
      <s:c r="D6" s="24">
        <s:v>100</s:v>
      </s:c>
      <s:c r="E6" s="24">
        <s:v>0</s:v>
      </s:c>
    </s:row>
    <s:row x14ac:dyDescent="0.2" r="7" spans="1:5">
      <s:c r="A7" s="24" t="s">
        <s:v>53</s:v>
      </s:c>
      <s:c r="B7" s="24">
        <s:v>748</s:v>
      </s:c>
      <s:c r="C7" s="24">
        <s:v>0.5</s:v>
      </s:c>
      <s:c r="D7" s="24">
        <s:v>82.5</s:v>
      </s:c>
      <s:c r="E7" s="24">
        <s:v>0.8</s:v>
      </s:c>
    </s:row>
    <s:row x14ac:dyDescent="0.2" r="8" spans="1:5">
      <s:c r="A8" s="24" t="s">
        <s:v>54</s:v>
      </s:c>
      <s:c r="B8" s="24">
        <s:v>898</s:v>
      </s:c>
      <s:c r="C8" s="24">
        <s:v>0</s:v>
      </s:c>
      <s:c r="D8" s="24">
        <s:v>99.8</s:v>
      </s:c>
      <s:c r="E8" s="24">
        <s:v>0</s:v>
      </s:c>
    </s:row>
  </s:sheetData>
  <s:autoFilter xr:uid="{00000000-0009-0000-0000-000003000000}" ref="A1:E8"/>
  <s:pageMargins left="0.75" right="0.75" top="1" bottom="1" header="0.5" footer="0.5"/>
</s:worksheet>
</file>

<file path=xl/worksheets/sheet5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400-000000000000}">
  <s:dimension ref="A1:E13"/>
  <s:sheetViews>
    <s:sheetView tabSelected="0" workbookViewId="0">
      <s:pane ySplit="1" topLeftCell="A2" activePane="bottomLeft" state="frozen"/>
      <s:selection pane="bottomLeft"/>
    </s:sheetView>
  </s:sheetViews>
  <s:sheetFormatPr x14ac:dyDescent="0.2" baseColWidth="10" defaultColWidth="8.832" defaultRowHeight="15"/>
  <s:cols>
    <s:col min="1" max="1" width="28" customWidth="1"/>
    <s:col min="2" max="5" width="14" customWidth="1"/>
  </s:cols>
  <s:sheetData>
    <s:row x14ac:dyDescent="0.2" r="1" spans="1:5">
      <s:c r="A1" s="23" t="s">
        <s:v>2</s:v>
      </s:c>
      <s:c r="B1" s="23" t="s">
        <s:v>4</s:v>
      </s:c>
      <s:c r="C1" s="23" t="s">
        <s:v>5</s:v>
      </s:c>
      <s:c r="D1" s="23" t="s">
        <s:v>6</s:v>
      </s:c>
      <s:c r="E1" s="23" t="s">
        <s:v>7</s:v>
      </s:c>
    </s:row>
    <s:row x14ac:dyDescent="0.2" r="2" spans="1:5">
      <s:c r="A2" s="24" t="s">
        <s:v>55</s:v>
      </s:c>
      <s:c r="B2" s="24">
        <s:v>241</s:v>
      </s:c>
      <s:c r="C2" s="24">
        <s:v>3.4</s:v>
      </s:c>
      <s:c r="D2" s="24">
        <s:v>0.5</s:v>
      </s:c>
      <s:c r="E2" s="24">
        <s:v>62.6</s:v>
      </s:c>
    </s:row>
    <s:row x14ac:dyDescent="0.2" r="3" spans="1:5">
      <s:c r="A3" s="24" t="s">
        <s:v>56</s:v>
      </s:c>
      <s:c r="B3" s="24">
        <s:v>240</s:v>
      </s:c>
      <s:c r="C3" s="24">
        <s:v>2.2000000000000002</s:v>
      </s:c>
      <s:c r="D3" s="24">
        <s:v>0.4</s:v>
      </s:c>
      <s:c r="E3" s="24">
        <s:v>63.9</s:v>
      </s:c>
    </s:row>
    <s:row x14ac:dyDescent="0.2" r="4" spans="1:5">
      <s:c r="A4" s="24" t="s">
        <s:v>57</s:v>
      </s:c>
      <s:c r="B4" s="24">
        <s:v>299</s:v>
      </s:c>
      <s:c r="C4" s="24">
        <s:v>3.1</s:v>
      </s:c>
      <s:c r="D4" s="24">
        <s:v>0.5</s:v>
      </s:c>
      <s:c r="E4" s="24">
        <s:v>79.2</s:v>
      </s:c>
    </s:row>
    <s:row x14ac:dyDescent="0.2" r="5" spans="1:5">
      <s:c r="A5" s="24" t="s">
        <s:v>58</s:v>
      </s:c>
      <s:c r="B5" s="24">
        <s:v>282</s:v>
      </s:c>
      <s:c r="C5" s="24">
        <s:v>2.5</s:v>
      </s:c>
      <s:c r="D5" s="24">
        <s:v>0.4</s:v>
      </s:c>
      <s:c r="E5" s="24">
        <s:v>75</s:v>
      </s:c>
    </s:row>
    <s:row x14ac:dyDescent="0.2" r="6" spans="1:5">
      <s:c r="A6" s="24" t="s">
        <s:v>59</s:v>
      </s:c>
      <s:c r="B6" s="24">
        <s:v>249</s:v>
      </s:c>
      <s:c r="C6" s="24">
        <s:v>3.3</s:v>
      </s:c>
      <s:c r="D6" s="24">
        <s:v>0.9</s:v>
      </s:c>
      <s:c r="E6" s="24">
        <s:v>63.9</s:v>
      </s:c>
    </s:row>
    <s:row x14ac:dyDescent="0.2" r="7" spans="1:5">
      <s:c r="A7" s="24" t="s">
        <s:v>32</s:v>
      </s:c>
      <s:c r="B7" s="24">
        <s:v>247</s:v>
      </s:c>
      <s:c r="C7" s="24">
        <s:v>13</s:v>
      </s:c>
      <s:c r="D7" s="24">
        <s:v>4.2</s:v>
      </s:c>
      <s:c r="E7" s="24">
        <s:v>41</s:v>
      </s:c>
    </s:row>
    <s:row x14ac:dyDescent="0.2" r="8" spans="1:5">
      <s:c r="A8" s="24" t="s">
        <s:v>60</s:v>
      </s:c>
      <s:c r="B8" s="24">
        <s:v>266</s:v>
      </s:c>
      <s:c r="C8" s="24">
        <s:v>8.9</s:v>
      </s:c>
      <s:c r="D8" s="24">
        <s:v>3.3</s:v>
      </s:c>
      <s:c r="E8" s="24">
        <s:v>49.4</s:v>
      </s:c>
    </s:row>
    <s:row x14ac:dyDescent="0.2" r="9" spans="1:5">
      <s:c r="A9" s="24" t="s">
        <s:v>61</s:v>
      </s:c>
      <s:c r="B9" s="24">
        <s:v>259</s:v>
      </s:c>
      <s:c r="C9" s="24">
        <s:v>8.5</s:v>
      </s:c>
      <s:c r="D9" s="24">
        <s:v>3.3</s:v>
      </s:c>
      <s:c r="E9" s="24">
        <s:v>48.3</s:v>
      </s:c>
    </s:row>
    <s:row x14ac:dyDescent="0.2" r="10" spans="1:5">
      <s:c r="A10" s="24" t="s">
        <s:v>62</s:v>
      </s:c>
      <s:c r="B10" s="24">
        <s:v>250</s:v>
      </s:c>
      <s:c r="C10" s="24">
        <s:v>0.4</s:v>
      </s:c>
      <s:c r="D10" s="24">
        <s:v>0.1</s:v>
      </s:c>
      <s:c r="E10" s="24">
        <s:v>62</s:v>
      </s:c>
    </s:row>
    <s:row x14ac:dyDescent="0.2" r="11" spans="1:5">
      <s:c r="A11" s="24" t="s">
        <s:v>63</s:v>
      </s:c>
      <s:c r="B11" s="24">
        <s:v>326</s:v>
      </s:c>
      <s:c r="C11" s="24">
        <s:v>0.8</s:v>
      </s:c>
      <s:c r="D11" s="24">
        <s:v>0.1</s:v>
      </s:c>
      <s:c r="E11" s="24">
        <s:v>80</s:v>
      </s:c>
    </s:row>
    <s:row x14ac:dyDescent="0.2" r="12" spans="1:5">
      <s:c r="A12" s="24" t="s">
        <s:v>64</s:v>
      </s:c>
      <s:c r="B12" s="24">
        <s:v>324</s:v>
      </s:c>
      <s:c r="C12" s="24">
        <s:v>0.5</s:v>
      </s:c>
      <s:c r="D12" s="24">
        <s:v>0</s:v>
      </s:c>
      <s:c r="E12" s="24">
        <s:v>80</s:v>
      </s:c>
    </s:row>
    <s:row x14ac:dyDescent="0.2" r="13" spans="1:5">
      <s:c r="A13" s="24" t="s">
        <s:v>65</s:v>
      </s:c>
      <s:c r="B13" s="24">
        <s:v>321</s:v>
      </s:c>
      <s:c r="C13" s="24">
        <s:v>0.1</s:v>
      </s:c>
      <s:c r="D13" s="24">
        <s:v>0</s:v>
      </s:c>
      <s:c r="E13" s="24">
        <s:v>79</s:v>
      </s:c>
    </s:row>
  </s:sheetData>
  <s:autoFilter xr:uid="{00000000-0009-0000-0000-000004000000}" ref="A1:E13"/>
  <s:pageMargins left="0.75" right="0.75" top="1" bottom="1" header="0.5" footer="0.5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Macintosh Excel</ep:Application>
  <ep:DocSecurity>0</ep:DocSecurity>
  <ep:ScaleCrop>false</ep:ScaleCrop>
  <ep: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ep:HeadingPairs>
  <ep:TitlesOfParts>
    <vt:vector size="9" baseType="lpstr">
      <vt:lpstr>Расчет рациона</vt:lpstr>
      <vt:lpstr>Злаковые продукты</vt:lpstr>
      <vt:lpstr>Белковые продукты</vt:lpstr>
      <vt:lpstr>Жиры и масла</vt:lpstr>
      <vt:lpstr>Продукты для перекусов</vt:lpstr>
      <vt:lpstr>FatList</vt:lpstr>
      <vt:lpstr>GrainList</vt:lpstr>
      <vt:lpstr>ProteinList</vt:lpstr>
      <vt:lpstr>SnackList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openpyxl</dc:creator>
  <cp:lastModifiedBy>Алексей Антонов</cp:lastModifiedBy>
  <dcterms:created xsi:type="dcterms:W3CDTF">2026-10-06T07:59:02Z</dcterms:created>
  <dcterms:modified xsi:type="dcterms:W3CDTF">2026-10-14T07:44:00Z</dcterms:modified>
</cp:coreProperties>
</file>