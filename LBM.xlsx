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sheets/sheet5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10="http://schemas.microsoft.com/office/spreadsheetml/2016/revision10" xmlns:xr6="http://schemas.microsoft.com/office/spreadsheetml/2016/revision6" xmlns:mc="http://schemas.openxmlformats.org/markup-compatibility/2006" xmlns:unk1="http://schemas.microsoft.com/office/spreadsheetml/2010/11/main" xmlns:r="http://schemas.openxmlformats.org/officeDocument/2006/relationships" xmlns:s="http://schemas.openxmlformats.org/spreadsheetml/2006/main" xmlns:unk2="http://schemas.microsoft.com/office/spreadsheetml/2018/calcfeatures" xmlns:xr2="http://schemas.microsoft.com/office/spreadsheetml/2015/revision2" xmlns:xr="http://schemas.microsoft.com/office/spreadsheetml/2014/revision" mc:Ignorable="unk1 xr xr6 xr10 xr2">
  <s:fileVersion appName="xl" lastEdited="7" lowestEdited="4" rupBuild="10313"/>
  <s:workbookPr filterPrivacy="1" defaultThemeVersion="124226"/>
  <s:bookViews>
    <s:workbookView xr2:uid="{00000000-000D-0000-FFFF-FFFF00000000}" xWindow="5000" yWindow="5980" windowWidth="28800" windowHeight="16000" tabRatio="770" activeTab="3"/>
  </s:bookViews>
  <s:sheets>
    <s:sheet name="женщины" sheetId="3" state="hidden" r:id="rId1"/>
    <s:sheet name="мужчины" sheetId="2" state="hidden" r:id="rId2"/>
    <s:sheet name="калипер женщина" sheetId="20" state="visible" r:id="rId3"/>
    <s:sheet name="карипер мужчина (2)" sheetId="21" state="visible" r:id="rId4"/>
    <s:sheet name="схема" sheetId="7" state="hidden" r:id="rId5"/>
  </s:sheets>
  <s:calcPr calcId="191029" refMode="R1C1"/>
  <s:extLs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  <unk2:feature name="microsoft.com:LET_WF"/>
      </unk2:calcFeatures>
    </s:ext>
  </s:extLst>
</s:workbook>
</file>

<file path=xl/sharedStrings.xml><?xml version="1.0" encoding="utf-8"?>
<s:sst xmlns:s="http://schemas.openxmlformats.org/spreadsheetml/2006/main" count="103" uniqueCount="52">
  <s:si>
    <s:t>Грудь</s:t>
  </s:si>
  <s:si>
    <s:t>Сумма складок</s:t>
  </s:si>
  <s:si>
    <s:t>ИНДЕКС</s:t>
  </s:si>
  <s:si>
    <s:r>
      <s:t>Рост (m</s:t>
    </s:r>
    <s:r>
      <s:rPr>
        <s:rFont val="Calibri"/>
        <s:charset val="204"/>
        <s:family val="2"/>
        <s:color theme="1"/>
        <s:sz val="16"/>
      </s:rPr>
      <s:t>₂)</s:t>
    </s:r>
  </s:si>
  <s:si>
    <s:t>Предплечье</s:t>
  </s:si>
  <s:si>
    <s:t>Плечо спереди</s:t>
  </s:si>
  <s:si>
    <s:t>Плечо сзади</s:t>
  </s:si>
  <s:si>
    <s:t>Лопатка</s:t>
  </s:si>
  <s:si>
    <s:t>Живот</s:t>
  </s:si>
  <s:si>
    <s:t>Бедро</s:t>
  </s:si>
  <s:si>
    <s:t>% жира</s:t>
  </s:si>
  <s:si>
    <s:t>ДАТА:</s:t>
  </s:si>
  <s:si>
    <s:t>Процент подкожного жира у мужчин.</s:t>
  </s:si>
  <s:si>
    <s:t>Вес (кг)</s:t>
  </s:si>
  <s:si>
    <s:t>Голень</s:t>
  </s:si>
  <s:si>
    <s:t>Процент подкожного жира у женщин.</s:t>
  </s:si>
  <s:si>
    <s:t>МСМ(КГ)</s:t>
  </s:si>
  <s:si>
    <s:r>
      <s:t>Рост (m</s:t>
    </s:r>
    <s:r>
      <s:rPr>
        <s:rFont val="Calibri"/>
        <s:charset val="204"/>
        <s:family val="2"/>
        <s:color theme="1"/>
        <s:sz val="11"/>
        <s:scheme val="minor"/>
      </s:rPr>
      <s:t>₂)</s:t>
    </s:r>
  </s:si>
  <s:si>
    <s:t>плечо</s:t>
  </s:si>
  <s:si>
    <s:t>талия</s:t>
  </s:si>
  <s:si>
    <s:t>бедра</s:t>
  </s:si>
  <s:si>
    <s:t>бедро</s:t>
  </s:si>
  <s:si>
    <s:t>СУММА</s:t>
  </s:si>
  <s:si>
    <s:t>ПОЛ</s:t>
  </s:si>
  <s:si>
    <s:t>% ЖИРА</s:t>
  </s:si>
  <s:si>
    <s:t>МУЖЧИНЫ</s:t>
  </s:si>
  <s:si>
    <s:t xml:space="preserve">10 – 14 </s:t>
  </s:si>
  <s:si>
    <s:t xml:space="preserve">14 – 20 </s:t>
  </s:si>
  <s:si>
    <s:t>0,95</s:t>
  </s:si>
  <s:si>
    <s:t xml:space="preserve">20 – 28 </s:t>
  </s:si>
  <s:si>
    <s:t>0,90</s:t>
  </s:si>
  <s:si>
    <s:t>БОЛЬШЕ 28</s:t>
  </s:si>
  <s:si>
    <s:t>0,85</s:t>
  </s:si>
  <s:si>
    <s:t>ЖЕНЩИНЫ</s:t>
  </s:si>
  <s:si>
    <s:t xml:space="preserve">14 – 18 </s:t>
  </s:si>
  <s:si>
    <s:t>1,0</s:t>
  </s:si>
  <s:si>
    <s:t xml:space="preserve">18 – 28 </s:t>
  </s:si>
  <s:si>
    <s:t xml:space="preserve">28 – 38 </s:t>
  </s:si>
  <s:si>
    <s:t xml:space="preserve">БОЛЬШЕ 38 </s:t>
  </s:si>
  <s:si>
    <s:t>муж</s:t>
  </s:si>
  <s:si>
    <s:t>жен</s:t>
  </s:si>
  <s:si>
    <s:t>0,9</s:t>
  </s:si>
  <s:si>
    <s:t>индексплеча</s:t>
  </s:si>
  <s:si>
    <s:t>индекс голени</s:t>
  </s:si>
  <s:si>
    <s:t>индекс бедра</s:t>
  </s:si>
  <s:si>
    <s:t>Возраст</s:t>
  </s:si>
  <s:si>
    <s:t>Рост М</s:t>
  </s:si>
  <s:si>
    <s:t>Рост СМ</s:t>
  </s:si>
  <s:si>
    <s:t>LBM</s:t>
  </s:si>
  <s:si>
    <s:t>жир (кг)</s:t>
  </s:si>
  <s:si>
    <s:t>27 мая</s:t>
  </s:si>
  <s:si>
    <s:t>4</s:t>
  </s:si>
</s:sst>
</file>

<file path=xl/styles.xml><?xml version="1.0" encoding="utf-8"?>
<s:styleSheet xmlns:vyd="http://volga.yandex.com/schemas/document/model" xmlns:s="http://schemas.openxmlformats.org/spreadsheetml/2006/main" xmlns:mc="http://schemas.openxmlformats.org/markup-compatibility/2006"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xmlns:unk1="http://schemas.microsoft.com/office/spreadsheetml/2010/11/main" mc:Ignorable="x14ac x16r2 xr">
  <s:numFmts count="1">
    <s:numFmt numFmtId="164" formatCode="0.0"/>
  </s:numFmts>
  <s:fonts x14ac:knownFonts="1" count="33">
    <s:font>
      <s:name val="Calibri"/>
      <s:charset val="204"/>
      <s:family val="2"/>
      <s:color theme="1"/>
      <s:sz val="11"/>
      <s:scheme val="minor"/>
    </s:font>
    <s:font>
      <s:name val="Times New Roman"/>
      <s:charset val="204"/>
      <s:family val="1"/>
      <s:color theme="1"/>
      <s:sz val="11"/>
    </s:font>
    <s:font>
      <s:name val="Times New Roman"/>
      <s:charset val="204"/>
      <s:family val="1"/>
      <s:color theme="1"/>
      <s:sz val="12"/>
    </s:font>
    <s:font>
      <s:name val="Times New Roman"/>
      <s:charset val="204"/>
      <s:family val="1"/>
      <s:sz val="12"/>
    </s:font>
    <s:font>
      <s:name val="Times New Roman"/>
      <s:charset val="204"/>
      <s:family val="1"/>
      <s:color theme="0"/>
      <s:sz val="12"/>
    </s:font>
    <s:font>
      <s:name val="Times New Roman"/>
      <s:charset val="204"/>
      <s:family val="1"/>
      <s:color theme="1"/>
      <s:sz val="16"/>
    </s:font>
    <s:font>
      <s:name val="Calibri"/>
      <s:charset val="204"/>
      <s:family val="2"/>
      <s:color theme="1"/>
      <s:sz val="16"/>
    </s:font>
    <s:font>
      <s:name val="Calibri"/>
      <s:charset val="204"/>
      <s:family val="2"/>
      <s:sz val="11"/>
      <s:scheme val="minor"/>
    </s:font>
    <s:font>
      <s:name val="Calibri"/>
      <s:charset val="204"/>
      <s:family val="2"/>
      <s:color theme="1"/>
      <s:sz val="11"/>
      <s:scheme val="minor"/>
    </s:font>
    <s:font>
      <s:name val="Times New Roman"/>
      <s:charset val="204"/>
      <s:family val="1"/>
      <s:color theme="1"/>
      <s:sz val="16"/>
    </s:font>
    <s:font>
      <s:name val="Times New Roman"/>
      <s:charset val="204"/>
      <s:family val="1"/>
      <s:color theme="1"/>
      <s:sz val="12"/>
    </s:font>
    <s:font>
      <s:name val="Times New Roman"/>
      <s:charset val="204"/>
      <s:family val="1"/>
      <s:sz val="12"/>
    </s:font>
    <s:font>
      <s:name val="Calibri"/>
      <s:charset val="204"/>
      <s:family val="2"/>
      <s:sz val="11"/>
      <s:scheme val="minor"/>
    </s:font>
    <s:font>
      <s:name val="Times New Roman"/>
      <s:charset val="204"/>
      <s:family val="1"/>
      <s:color rgb="FFFF0000"/>
      <s:sz val="16"/>
    </s:font>
    <s:font>
      <s:name val="Times New Roman"/>
      <s:charset val="204"/>
      <s:family val="1"/>
      <s:color rgb="FFFF0000"/>
      <s:sz val="12"/>
    </s:font>
    <s:font>
      <s:name val="Calibri"/>
      <s:charset val="204"/>
      <s:family val="2"/>
      <s:color rgb="FFFF0000"/>
      <s:sz val="11"/>
      <s:scheme val="minor"/>
    </s:font>
    <s:font>
      <s:name val="Times New Roman"/>
      <s:charset val="204"/>
      <s:family val="1"/>
      <s:color theme="1"/>
      <s:sz val="11"/>
    </s:font>
    <s:font>
      <s:name val="Calibri"/>
      <s:charset val="204"/>
      <s:family val="2"/>
      <s:color theme="1"/>
      <s:sz val="16"/>
      <s:scheme val="minor"/>
    </s:font>
    <s:font>
      <s:name val="Calibri"/>
      <s:charset val="204"/>
      <s:family val="2"/>
      <s:sz val="16"/>
      <s:scheme val="minor"/>
    </s:font>
    <s:font>
      <s:name val="Calibri"/>
      <s:charset val="204"/>
      <s:family val="2"/>
      <s:color theme="1"/>
      <s:sz val="20"/>
      <s:scheme val="minor"/>
    </s:font>
    <s:font>
      <s:name val="Calibri"/>
      <s:charset val="204"/>
      <s:family val="2"/>
      <s:color theme="1"/>
      <s:sz val="18"/>
      <s:scheme val="minor"/>
    </s:font>
    <s:font>
      <s:name val="Times New Roman"/>
      <s:charset val="204"/>
      <s:family val="1"/>
      <s:color theme="0"/>
      <s:sz val="14"/>
    </s:font>
    <s:font>
      <s:name val="Calibri"/>
      <s:charset val="204"/>
      <s:family val="2"/>
      <s:b val="1"/>
      <s:color theme="1"/>
      <s:sz val="16"/>
      <s:scheme val="minor"/>
    </s:font>
    <s:font>
      <s:name val="Times New Roman"/>
      <s:charset val="204"/>
      <s:family val="1"/>
      <s:b val="1"/>
      <s:color rgb="FFFFFFFF"/>
      <s:sz val="16"/>
    </s:font>
    <s:font>
      <s:name val="Times New Roman"/>
      <s:charset val="204"/>
      <s:family val="1"/>
      <s:color rgb="FF000000"/>
      <s:sz val="16"/>
    </s:font>
    <s:font>
      <s:name val="Calibri"/>
      <s:charset val="204"/>
      <s:family val="2"/>
      <s:color theme="0"/>
      <s:sz val="11"/>
      <s:scheme val="minor"/>
    </s:font>
    <s:font>
      <s:name val="Times New Roman"/>
      <s:charset val="204"/>
      <s:family val="1"/>
      <s:b val="1"/>
      <s:color theme="1"/>
      <s:sz val="11"/>
    </s:font>
    <s:font>
      <s:name val="Times New Roman"/>
      <s:charset val="204"/>
      <s:family val="1"/>
      <s:b val="1"/>
      <s:color theme="1"/>
      <s:sz val="16"/>
    </s:font>
    <s:font>
      <s:name val="Times New Roman"/>
      <s:charset val="204"/>
      <s:family val="1"/>
      <s:b val="1"/>
      <s:color theme="0"/>
      <s:sz val="16"/>
    </s:font>
    <s:font>
      <s:name val="Times New Roman"/>
      <s:charset val="204"/>
      <s:family val="1"/>
      <s:b val="1"/>
      <s:color theme="0"/>
      <s:sz val="14"/>
    </s:font>
    <s:font>
      <s:name val="Times New Roman"/>
      <s:charset val="204"/>
      <s:family val="1"/>
      <s:b val="1"/>
      <s:color theme="1"/>
      <s:sz val="12"/>
    </s:font>
    <s:font>
      <s:name val="Times New Roman"/>
      <s:charset val="204"/>
      <s:family val="1"/>
      <s:b val="1"/>
      <s:color rgb="FFFF0000"/>
      <s:sz val="16"/>
    </s:font>
    <s:font>
      <s:name val="Times New Roman"/>
      <s:charset val="204"/>
      <s:family val="1"/>
      <s:b val="1"/>
      <s:color rgb="FFFF0000"/>
      <s:sz val="12"/>
    </s:font>
  </s:fonts>
  <s:fills count="12">
    <s:fill>
      <s:patternFill patternType="none"/>
    </s:fill>
    <s:fill>
      <s:patternFill patternType="gray125"/>
    </s:fill>
    <s:fill>
      <s:patternFill patternType="solid">
        <s:fgColor rgb="FFFFFF00"/>
        <s:bgColor indexed="64"/>
      </s:patternFill>
    </s:fill>
    <s:fill>
      <s:patternFill patternType="solid">
        <s:fgColor theme="8" tint="0.6"/>
        <s:bgColor indexed="64"/>
      </s:patternFill>
    </s:fill>
    <s:fill>
      <s:patternFill patternType="solid">
        <s:fgColor theme="5" tint="0.8"/>
        <s:bgColor indexed="64"/>
      </s:patternFill>
    </s:fill>
    <s:fill>
      <s:patternFill patternType="solid">
        <s:fgColor rgb="FFFFC000"/>
        <s:bgColor indexed="64"/>
      </s:patternFill>
    </s:fill>
    <s:fill>
      <s:patternFill patternType="solid">
        <s:fgColor theme="5" tint="0.6"/>
        <s:bgColor indexed="64"/>
      </s:patternFill>
    </s:fill>
    <s:fill>
      <s:patternFill patternType="solid">
        <s:fgColor rgb="FFFF0000"/>
        <s:bgColor indexed="64"/>
      </s:patternFill>
    </s:fill>
    <s:fill>
      <s:patternFill patternType="solid">
        <s:fgColor rgb="FF4472C4"/>
        <s:bgColor indexed="64"/>
      </s:patternFill>
    </s:fill>
    <s:fill>
      <s:patternFill patternType="solid">
        <s:fgColor rgb="FFCFD5EA"/>
        <s:bgColor indexed="64"/>
      </s:patternFill>
    </s:fill>
    <s:fill>
      <s:patternFill patternType="solid">
        <s:fgColor rgb="FFE9EBF5"/>
        <s:bgColor indexed="64"/>
      </s:patternFill>
    </s:fill>
    <s:fill>
      <s:patternFill patternType="solid">
        <s:fgColor theme="0"/>
        <s:bgColor indexed="64"/>
      </s:patternFill>
    </s:fill>
  </s:fills>
  <s:borders count="44">
    <s:border>
      <s:left/>
      <s:right/>
      <s:top/>
      <s:bottom/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thin">
        <s:color indexed="64"/>
      </s:left>
      <s:right style="medium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n">
        <s:color indexed="64"/>
      </s:left>
      <s:right style="medium">
        <s:color indexed="64"/>
      </s:right>
      <s:top style="thin">
        <s:color indexed="64"/>
      </s:top>
      <s:bottom style="medium">
        <s:color indexed="64"/>
      </s:bottom>
      <s:diagonal/>
    </s:border>
    <s:border>
      <s:left style="thin">
        <s:color indexed="64"/>
      </s:left>
      <s:right style="medium">
        <s:color indexed="64"/>
      </s:right>
      <s:top/>
      <s:bottom style="thin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thin">
        <s:color indexed="64"/>
      </s:top>
      <s:bottom/>
      <s:diagonal/>
    </s:border>
    <s:border>
      <s:left style="medium">
        <s:color indexed="64"/>
      </s:left>
      <s:right/>
      <s:top/>
      <s:bottom style="thin">
        <s:color indexed="64"/>
      </s:bottom>
      <s:diagonal/>
    </s:border>
    <s:border>
      <s:left style="medium">
        <s:color indexed="64"/>
      </s:left>
      <s:right/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/>
      <s:top style="thin">
        <s:color indexed="64"/>
      </s:top>
      <s:bottom/>
      <s:diagonal/>
    </s:border>
    <s:border>
      <s:left/>
      <s:right style="thin">
        <s:color indexed="64"/>
      </s:right>
      <s:top/>
      <s:bottom style="thin">
        <s:color indexed="64"/>
      </s:bottom>
      <s:diagonal/>
    </s:border>
    <s:border>
      <s:left/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 style="thin">
        <s:color indexed="64"/>
      </s:bottom>
      <s:diagonal/>
    </s:border>
    <s:border>
      <s:left/>
      <s:right style="thin">
        <s:color indexed="64"/>
      </s:right>
      <s:top style="thin">
        <s:color indexed="64"/>
      </s:top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/>
      <s:bottom style="medium">
        <s:color indexed="64"/>
      </s:bottom>
      <s:diagonal/>
    </s:border>
    <s:border>
      <s:left style="medium">
        <s:color indexed="64"/>
      </s:left>
      <s:right style="medium">
        <s:color indexed="64"/>
      </s:right>
      <s:top/>
      <s:bottom style="thin">
        <s:color indexed="64"/>
      </s:bottom>
      <s:diagonal/>
    </s:border>
    <s:border>
      <s:left style="medium">
        <s:color indexed="64"/>
      </s:left>
      <s:right/>
      <s:top/>
      <s:bottom style="medium">
        <s:color indexed="64"/>
      </s:bottom>
      <s:diagonal/>
    </s:border>
    <s:border>
      <s:left style="medium">
        <s:color indexed="64"/>
      </s:left>
      <s:right/>
      <s:top/>
      <s:bottom/>
      <s:diagonal/>
    </s:border>
    <s:border>
      <s:left style="medium">
        <s:color indexed="64"/>
      </s:left>
      <s:right style="medium">
        <s:color indexed="64"/>
      </s:right>
      <s:top/>
      <s:bottom/>
      <s:diagonal/>
    </s:border>
    <s:border>
      <s:left style="medium">
        <s:color indexed="64"/>
      </s:left>
      <s:right style="thin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thin">
        <s:color indexed="64"/>
      </s:left>
      <s:right style="thin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rgb="FFFFFFFF"/>
      </s:left>
      <s:right style="medium">
        <s:color rgb="FFFFFFFF"/>
      </s:right>
      <s:top style="thick">
        <s:color rgb="FFFFFFFF"/>
      </s:top>
      <s:bottom style="medium">
        <s:color rgb="FFFFFFFF"/>
      </s:bottom>
      <s:diagonal/>
    </s:border>
    <s:border>
      <s:left style="medium">
        <s:color rgb="FFFFFFFF"/>
      </s:left>
      <s:right style="medium">
        <s:color rgb="FFFFFFFF"/>
      </s:right>
      <s:top style="medium">
        <s:color rgb="FFFFFFFF"/>
      </s:top>
      <s:bottom style="medium">
        <s:color rgb="FFFFFFFF"/>
      </s:bottom>
      <s:diagonal/>
    </s:border>
    <s:border>
      <s:left style="medium">
        <s:color indexed="64"/>
      </s:left>
      <s:right style="thin">
        <s:color indexed="64"/>
      </s:right>
      <s:top style="thin">
        <s:color indexed="64"/>
      </s:top>
      <s:bottom style="medium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/>
      <s:diagonal/>
    </s:border>
    <s:border>
      <s:left/>
      <s:right style="medium">
        <s:color indexed="64"/>
      </s:right>
      <s:top style="medium">
        <s:color indexed="64"/>
      </s:top>
      <s:bottom/>
      <s:diagonal/>
    </s:border>
    <s:border>
      <s:left style="medium">
        <s:color indexed="64"/>
      </s:left>
      <s:right style="medium">
        <s:color rgb="FFFFFFFF"/>
      </s:right>
      <s:top style="medium">
        <s:color indexed="64"/>
      </s:top>
      <s:bottom style="thick">
        <s:color rgb="FFFFFFFF"/>
      </s:bottom>
      <s:diagonal/>
    </s:border>
    <s:border>
      <s:left style="medium">
        <s:color rgb="FFFFFFFF"/>
      </s:left>
      <s:right style="medium">
        <s:color rgb="FFFFFFFF"/>
      </s:right>
      <s:top style="medium">
        <s:color indexed="64"/>
      </s:top>
      <s:bottom style="thick">
        <s:color rgb="FFFFFFFF"/>
      </s:bottom>
      <s:diagonal/>
    </s:border>
    <s:border>
      <s:left style="medium">
        <s:color rgb="FFFFFFFF"/>
      </s:left>
      <s:right style="medium">
        <s:color indexed="64"/>
      </s:right>
      <s:top style="medium">
        <s:color indexed="64"/>
      </s:top>
      <s:bottom style="thick">
        <s:color rgb="FFFFFFFF"/>
      </s:bottom>
      <s:diagonal/>
    </s:border>
    <s:border>
      <s:left style="medium">
        <s:color indexed="64"/>
      </s:left>
      <s:right style="medium">
        <s:color rgb="FFFFFFFF"/>
      </s:right>
      <s:top style="thick">
        <s:color rgb="FFFFFFFF"/>
      </s:top>
      <s:bottom/>
      <s:diagonal/>
    </s:border>
    <s:border>
      <s:left style="medium">
        <s:color rgb="FFFFFFFF"/>
      </s:left>
      <s:right style="medium">
        <s:color indexed="64"/>
      </s:right>
      <s:top style="thick">
        <s:color rgb="FFFFFFFF"/>
      </s:top>
      <s:bottom style="medium">
        <s:color rgb="FFFFFFFF"/>
      </s:bottom>
      <s:diagonal/>
    </s:border>
    <s:border>
      <s:left style="medium">
        <s:color indexed="64"/>
      </s:left>
      <s:right style="medium">
        <s:color rgb="FFFFFFFF"/>
      </s:right>
      <s:top/>
      <s:bottom/>
      <s:diagonal/>
    </s:border>
    <s:border>
      <s:left style="medium">
        <s:color rgb="FFFFFFFF"/>
      </s:left>
      <s:right style="medium">
        <s:color indexed="64"/>
      </s:right>
      <s:top style="medium">
        <s:color rgb="FFFFFFFF"/>
      </s:top>
      <s:bottom style="medium">
        <s:color rgb="FFFFFFFF"/>
      </s:bottom>
      <s:diagonal/>
    </s:border>
    <s:border>
      <s:left style="medium">
        <s:color indexed="64"/>
      </s:left>
      <s:right style="medium">
        <s:color rgb="FFFFFFFF"/>
      </s:right>
      <s:top/>
      <s:bottom style="medium">
        <s:color rgb="FFFFFFFF"/>
      </s:bottom>
      <s:diagonal/>
    </s:border>
    <s:border>
      <s:left style="medium">
        <s:color indexed="64"/>
      </s:left>
      <s:right style="medium">
        <s:color rgb="FFFFFFFF"/>
      </s:right>
      <s:top style="medium">
        <s:color rgb="FFFFFFFF"/>
      </s:top>
      <s:bottom/>
      <s:diagonal/>
    </s:border>
    <s:border>
      <s:left style="medium">
        <s:color indexed="64"/>
      </s:left>
      <s:right style="medium">
        <s:color rgb="FFFFFFFF"/>
      </s:right>
      <s:top/>
      <s:bottom style="medium">
        <s:color indexed="64"/>
      </s:bottom>
      <s:diagonal/>
    </s:border>
    <s:border>
      <s:left style="medium">
        <s:color rgb="FFFFFFFF"/>
      </s:left>
      <s:right style="medium">
        <s:color rgb="FFFFFFFF"/>
      </s:right>
      <s:top style="medium">
        <s:color rgb="FFFFFFFF"/>
      </s:top>
      <s:bottom style="medium">
        <s:color indexed="64"/>
      </s:bottom>
      <s:diagonal/>
    </s:border>
    <s:border>
      <s:left style="medium">
        <s:color rgb="FFFFFFFF"/>
      </s:left>
      <s:right style="medium">
        <s:color indexed="64"/>
      </s:right>
      <s:top style="medium">
        <s:color rgb="FFFFFFFF"/>
      </s:top>
      <s:bottom style="medium">
        <s:color indexed="64"/>
      </s:bottom>
      <s:diagonal/>
    </s:border>
    <s:border>
      <s:left style="medium">
        <s:color indexed="64"/>
      </s:left>
      <s:right style="thin">
        <s:color indexed="64"/>
      </s:right>
      <s:top style="medium">
        <s:color indexed="64"/>
      </s:top>
      <s:bottom/>
      <s:diagonal/>
    </s:border>
    <s:border>
      <s:left style="thin">
        <s:color indexed="64"/>
      </s:left>
      <s:right style="thin">
        <s:color indexed="64"/>
      </s:right>
      <s:top style="medium">
        <s:color indexed="64"/>
      </s:top>
      <s:bottom/>
      <s:diagonal/>
    </s:border>
  </s:borders>
  <s:cellStyleXfs count="1">
    <s:xf numFmtId="0" fontId="0" fillId="0" borderId="0"/>
  </s:cellStyleXfs>
  <s:cellXfs count="150">
    <s:xf numFmtId="0" fontId="0" fillId="0" borderId="0" xfId="0"/>
    <s:xf numFmtId="0" fontId="1" fillId="0" borderId="0" xfId="0" applyFont="1"/>
    <s:xf numFmtId="0" fontId="2" fillId="0" borderId="0" xfId="0" applyFont="1"/>
    <s:xf numFmtId="0" fontId="2" fillId="0" borderId="0" xfId="0" applyFont="1" applyAlignment="1">
      <s:alignment horizontal="center" vertical="center" mc:Ignorable="vyd"/>
    </s:xf>
    <s:xf numFmtId="0" fontId="4" fillId="0" borderId="0" xfId="0" applyFont="1" applyAlignment="1">
      <s:alignment horizontal="center" vertical="center" mc:Ignorable="vyd"/>
    </s:xf>
    <s:xf numFmtId="0" fontId="5" fillId="2" borderId="7" xfId="0" applyFont="1" applyFill="1" applyBorder="1" applyAlignment="1">
      <s:alignment horizontal="center" vertical="center" mc:Ignorable="vyd"/>
    </s:xf>
    <s:xf numFmtId="0" fontId="5" fillId="3" borderId="13" xfId="0" applyFont="1" applyFill="1" applyBorder="1" applyAlignment="1">
      <s:alignment horizontal="center" vertical="center" mc:Ignorable="vyd"/>
    </s:xf>
    <s:xf numFmtId="0" fontId="5" fillId="4" borderId="6" xfId="0" applyFont="1" applyFill="1" applyBorder="1" applyAlignment="1">
      <s:alignment horizontal="center" vertical="center" mc:Ignorable="vyd"/>
    </s:xf>
    <s:xf numFmtId="0" fontId="5" fillId="3" borderId="11" xfId="0" applyFont="1" applyFill="1" applyBorder="1" applyAlignment="1">
      <s:alignment horizontal="center" vertical="center" mc:Ignorable="vyd"/>
    </s:xf>
    <s:xf numFmtId="0" fontId="5" fillId="2" borderId="18" xfId="0" applyFont="1" applyFill="1" applyBorder="1" applyAlignment="1">
      <s:alignment horizontal="center" vertical="center" mc:Ignorable="vyd"/>
    </s:xf>
    <s:xf numFmtId="0" fontId="5" fillId="2" borderId="10" xfId="0" applyFont="1" applyFill="1" applyBorder="1" applyAlignment="1">
      <s:alignment horizontal="center" vertical="center" mc:Ignorable="vyd"/>
    </s:xf>
    <s:xf numFmtId="0" fontId="5" fillId="3" borderId="14" xfId="0" applyFont="1" applyFill="1" applyBorder="1" applyAlignment="1">
      <s:alignment horizontal="center" vertical="center" mc:Ignorable="vyd"/>
    </s:xf>
    <s:xf numFmtId="0" fontId="5" fillId="4" borderId="4" xfId="0" applyFont="1" applyFill="1" applyBorder="1" applyAlignment="1">
      <s:alignment horizontal="center" vertical="center" mc:Ignorable="vyd"/>
    </s:xf>
    <s:xf numFmtId="0" fontId="5" fillId="2" borderId="8" xfId="0" applyFont="1" applyFill="1" applyBorder="1" applyAlignment="1">
      <s:alignment horizontal="center" vertical="center" mc:Ignorable="vyd"/>
    </s:xf>
    <s:xf numFmtId="0" fontId="5" fillId="2" borderId="11" xfId="0" applyFont="1" applyFill="1" applyBorder="1" applyAlignment="1">
      <s:alignment horizontal="center" vertical="center" mc:Ignorable="vyd"/>
    </s:xf>
    <s:xf numFmtId="0" fontId="5" fillId="3" borderId="16" xfId="0" applyFont="1" applyFill="1" applyBorder="1" applyAlignment="1">
      <s:alignment horizontal="center" vertical="center" mc:Ignorable="vyd"/>
    </s:xf>
    <s:xf numFmtId="164" fontId="5" fillId="4" borderId="5" xfId="0" applyNumberFormat="1" applyFont="1" applyFill="1" applyBorder="1" applyAlignment="1">
      <s:alignment horizontal="center" vertical="center" mc:Ignorable="vyd"/>
    </s:xf>
    <s:xf numFmtId="0" fontId="5" fillId="0" borderId="0" xfId="0" applyFont="1"/>
    <s:xf numFmtId="0" fontId="5" fillId="3" borderId="12" xfId="0" applyFont="1" applyFill="1" applyBorder="1" applyAlignment="1">
      <s:alignment horizontal="center" vertical="center" mc:Ignorable="vyd"/>
    </s:xf>
    <s:xf numFmtId="0" fontId="5" fillId="2" borderId="9" xfId="0" applyFont="1" applyFill="1" applyBorder="1" applyAlignment="1">
      <s:alignment horizontal="center" vertical="center" mc:Ignorable="vyd"/>
    </s:xf>
    <s:xf numFmtId="0" fontId="5" fillId="2" borderId="12" xfId="0" applyFont="1" applyFill="1" applyBorder="1" applyAlignment="1">
      <s:alignment horizontal="center" vertical="center" mc:Ignorable="vyd"/>
    </s:xf>
    <s:xf numFmtId="0" fontId="5" fillId="3" borderId="1" xfId="0" applyFont="1" applyFill="1" applyBorder="1" applyAlignment="1">
      <s:alignment horizontal="center" vertical="center" wrapText="1" mc:Ignorable="vyd"/>
    </s:xf>
    <s:xf numFmtId="0" fontId="5" fillId="6" borderId="15" xfId="0" applyFont="1" applyFill="1" applyBorder="1" applyAlignment="1">
      <s:alignment horizontal="center" vertical="center" mc:Ignorable="vyd"/>
    </s:xf>
    <s:xf numFmtId="0" fontId="5" fillId="6" borderId="7" xfId="0" applyFont="1" applyFill="1" applyBorder="1" applyAlignment="1">
      <s:alignment horizontal="center" vertical="center" mc:Ignorable="vyd"/>
    </s:xf>
    <s:xf numFmtId="0" fontId="3" fillId="0" borderId="0" xfId="0" applyFont="1"/>
    <s:xf numFmtId="164" fontId="3" fillId="0" borderId="0" xfId="0" applyNumberFormat="1" applyFont="1" applyAlignment="1">
      <s:alignment horizontal="center" vertical="center" mc:Ignorable="vyd"/>
    </s:xf>
    <s:xf numFmtId="0" fontId="7" fillId="0" borderId="0" xfId="0" applyFont="1"/>
    <s:xf numFmtId="16" fontId="5" fillId="6" borderId="7" xfId="0" applyNumberFormat="1" applyFont="1" applyFill="1" applyBorder="1" applyAlignment="1">
      <s:alignment horizontal="center" vertical="center" mc:Ignorable="vyd"/>
    </s:xf>
    <s:xf numFmtId="0" fontId="5" fillId="3" borderId="20" xfId="0" applyFont="1" applyFill="1" applyBorder="1" applyAlignment="1">
      <s:alignment horizontal="center" vertical="center" mc:Ignorable="vyd"/>
    </s:xf>
    <s:xf numFmtId="164" fontId="5" fillId="5" borderId="21" xfId="0" applyNumberFormat="1" applyFont="1" applyFill="1" applyBorder="1" applyAlignment="1">
      <s:alignment horizontal="center" vertical="center" mc:Ignorable="vyd"/>
    </s:xf>
    <s:xf numFmtId="164" fontId="5" fillId="0" borderId="23" xfId="0" applyNumberFormat="1" applyFont="1" applyBorder="1" applyAlignment="1">
      <s:alignment horizontal="center" vertical="center" mc:Ignorable="vyd"/>
    </s:xf>
    <s:xf numFmtId="0" fontId="8" fillId="0" borderId="0" xfId="0" applyFont="1"/>
    <s:xf numFmtId="0" fontId="10" fillId="0" borderId="0" xfId="0" applyFont="1"/>
    <s:xf numFmtId="0" fontId="9" fillId="6" borderId="15" xfId="0" applyFont="1" applyFill="1" applyBorder="1" applyAlignment="1">
      <s:alignment horizontal="center" vertical="center" mc:Ignorable="vyd"/>
    </s:xf>
    <s:xf numFmtId="16" fontId="9" fillId="6" borderId="7" xfId="0" applyNumberFormat="1" applyFont="1" applyFill="1" applyBorder="1" applyAlignment="1">
      <s:alignment horizontal="center" vertical="center" mc:Ignorable="vyd"/>
    </s:xf>
    <s:xf numFmtId="0" fontId="9" fillId="6" borderId="7" xfId="0" applyFont="1" applyFill="1" applyBorder="1" applyAlignment="1">
      <s:alignment horizontal="center" vertical="center" mc:Ignorable="vyd"/>
    </s:xf>
    <s:xf numFmtId="0" fontId="9" fillId="3" borderId="13" xfId="0" applyFont="1" applyFill="1" applyBorder="1" applyAlignment="1">
      <s:alignment horizontal="center" vertical="center" mc:Ignorable="vyd"/>
    </s:xf>
    <s:xf numFmtId="0" fontId="9" fillId="4" borderId="6" xfId="0" applyFont="1" applyFill="1" applyBorder="1" applyAlignment="1">
      <s:alignment horizontal="center" vertical="center" mc:Ignorable="vyd"/>
    </s:xf>
    <s:xf numFmtId="0" fontId="10" fillId="0" borderId="0" xfId="0" applyFont="1" applyAlignment="1">
      <s:alignment horizontal="center" vertical="center" mc:Ignorable="vyd"/>
    </s:xf>
    <s:xf numFmtId="0" fontId="9" fillId="3" borderId="11" xfId="0" applyFont="1" applyFill="1" applyBorder="1" applyAlignment="1">
      <s:alignment horizontal="center" vertical="center" mc:Ignorable="vyd"/>
    </s:xf>
    <s:xf numFmtId="0" fontId="9" fillId="2" borderId="18" xfId="0" applyFont="1" applyFill="1" applyBorder="1" applyAlignment="1">
      <s:alignment horizontal="center" vertical="center" mc:Ignorable="vyd"/>
    </s:xf>
    <s:xf numFmtId="0" fontId="9" fillId="2" borderId="10" xfId="0" applyFont="1" applyFill="1" applyBorder="1" applyAlignment="1">
      <s:alignment horizontal="center" vertical="center" mc:Ignorable="vyd"/>
    </s:xf>
    <s:xf numFmtId="0" fontId="9" fillId="3" borderId="14" xfId="0" applyFont="1" applyFill="1" applyBorder="1" applyAlignment="1">
      <s:alignment horizontal="center" vertical="center" mc:Ignorable="vyd"/>
    </s:xf>
    <s:xf numFmtId="0" fontId="9" fillId="4" borderId="4" xfId="0" applyFont="1" applyFill="1" applyBorder="1" applyAlignment="1">
      <s:alignment horizontal="center" vertical="center" mc:Ignorable="vyd"/>
    </s:xf>
    <s:xf numFmtId="164" fontId="10" fillId="0" borderId="0" xfId="0" applyNumberFormat="1" applyFont="1" applyAlignment="1">
      <s:alignment horizontal="center" vertical="center" mc:Ignorable="vyd"/>
    </s:xf>
    <s:xf numFmtId="0" fontId="9" fillId="2" borderId="8" xfId="0" applyFont="1" applyFill="1" applyBorder="1" applyAlignment="1">
      <s:alignment horizontal="center" vertical="center" mc:Ignorable="vyd"/>
    </s:xf>
    <s:xf numFmtId="0" fontId="9" fillId="2" borderId="11" xfId="0" applyFont="1" applyFill="1" applyBorder="1" applyAlignment="1">
      <s:alignment horizontal="center" vertical="center" mc:Ignorable="vyd"/>
    </s:xf>
    <s:xf numFmtId="0" fontId="9" fillId="3" borderId="16" xfId="0" applyFont="1" applyFill="1" applyBorder="1" applyAlignment="1">
      <s:alignment horizontal="center" vertical="center" mc:Ignorable="vyd"/>
    </s:xf>
    <s:xf numFmtId="164" fontId="9" fillId="4" borderId="5" xfId="0" applyNumberFormat="1" applyFont="1" applyFill="1" applyBorder="1" applyAlignment="1">
      <s:alignment horizontal="center" vertical="center" mc:Ignorable="vyd"/>
    </s:xf>
    <s:xf numFmtId="0" fontId="11" fillId="0" borderId="0" xfId="0" applyFont="1"/>
    <s:xf numFmtId="164" fontId="11" fillId="0" borderId="0" xfId="0" applyNumberFormat="1" applyFont="1" applyAlignment="1">
      <s:alignment horizontal="center" vertical="center" mc:Ignorable="vyd"/>
    </s:xf>
    <s:xf numFmtId="0" fontId="12" fillId="0" borderId="0" xfId="0" applyFont="1"/>
    <s:xf numFmtId="0" fontId="13" fillId="0" borderId="0" xfId="0" applyFont="1"/>
    <s:xf numFmtId="0" fontId="14" fillId="0" borderId="0" xfId="0" applyFont="1"/>
    <s:xf numFmtId="0" fontId="15" fillId="0" borderId="0" xfId="0" applyFont="1"/>
    <s:xf numFmtId="0" fontId="14" fillId="0" borderId="0" xfId="0" applyFont="1" applyAlignment="1">
      <s:alignment horizontal="center" vertical="center" mc:Ignorable="vyd"/>
    </s:xf>
    <s:xf numFmtId="0" fontId="9" fillId="3" borderId="12" xfId="0" applyFont="1" applyFill="1" applyBorder="1" applyAlignment="1">
      <s:alignment horizontal="center" vertical="center" mc:Ignorable="vyd"/>
    </s:xf>
    <s:xf numFmtId="0" fontId="9" fillId="2" borderId="9" xfId="0" applyFont="1" applyFill="1" applyBorder="1" applyAlignment="1">
      <s:alignment horizontal="center" vertical="center" mc:Ignorable="vyd"/>
    </s:xf>
    <s:xf numFmtId="0" fontId="9" fillId="2" borderId="12" xfId="0" applyFont="1" applyFill="1" applyBorder="1" applyAlignment="1">
      <s:alignment horizontal="center" vertical="center" mc:Ignorable="vyd"/>
    </s:xf>
    <s:xf numFmtId="0" fontId="9" fillId="3" borderId="1" xfId="0" applyFont="1" applyFill="1" applyBorder="1" applyAlignment="1">
      <s:alignment horizontal="center" vertical="center" wrapText="1" mc:Ignorable="vyd"/>
    </s:xf>
    <s:xf numFmtId="0" fontId="9" fillId="2" borderId="7" xfId="0" applyFont="1" applyFill="1" applyBorder="1" applyAlignment="1">
      <s:alignment horizontal="center" vertical="center" mc:Ignorable="vyd"/>
    </s:xf>
    <s:xf numFmtId="0" fontId="9" fillId="3" borderId="19" xfId="0" applyFont="1" applyFill="1" applyBorder="1" applyAlignment="1">
      <s:alignment horizontal="center" vertical="center" mc:Ignorable="vyd"/>
    </s:xf>
    <s:xf numFmtId="164" fontId="9" fillId="5" borderId="17" xfId="0" applyNumberFormat="1" applyFont="1" applyFill="1" applyBorder="1" applyAlignment="1">
      <s:alignment horizontal="center" vertical="center" mc:Ignorable="vyd"/>
    </s:xf>
    <s:xf numFmtId="164" fontId="9" fillId="0" borderId="23" xfId="0" applyNumberFormat="1" applyFont="1" applyBorder="1" applyAlignment="1">
      <s:alignment horizontal="center" vertical="center" mc:Ignorable="vyd"/>
    </s:xf>
    <s:xf numFmtId="0" fontId="16" fillId="0" borderId="0" xfId="0" applyFont="1"/>
    <s:xf numFmtId="0" fontId="8" fillId="0" borderId="24" xfId="0" applyFont="1" applyBorder="1"/>
    <s:xf numFmtId="0" fontId="19" fillId="0" borderId="24" xfId="0" applyFont="1" applyBorder="1" applyAlignment="1">
      <s:alignment horizontal="center" vertical="center" mc:Ignorable="vyd"/>
    </s:xf>
    <s:xf numFmtId="0" fontId="17" fillId="0" borderId="24" xfId="0" applyFont="1" applyBorder="1" applyAlignment="1">
      <s:alignment horizontal="center" vertical="center" mc:Ignorable="vyd"/>
    </s:xf>
    <s:xf numFmtId="0" fontId="18" fillId="0" borderId="24" xfId="0" applyFont="1" applyBorder="1" applyAlignment="1">
      <s:alignment horizontal="center" vertical="center" mc:Ignorable="vyd"/>
    </s:xf>
    <s:xf numFmtId="0" fontId="20" fillId="0" borderId="24" xfId="0" applyFont="1" applyBorder="1" applyAlignment="1">
      <s:alignment horizontal="center" vertical="center" mc:Ignorable="vyd"/>
    </s:xf>
    <s:xf numFmtId="0" fontId="21" fillId="7" borderId="22" xfId="0" applyFont="1" applyFill="1" applyBorder="1" applyAlignment="1">
      <s:alignment horizontal="center" vertical="center" mc:Ignorable="vyd"/>
    </s:xf>
    <s:xf numFmtId="0" fontId="24" fillId="9" borderId="25" xfId="0" applyFont="1" applyFill="1" applyBorder="1" applyAlignment="1">
      <s:alignment horizontal="center" vertical="center" wrapText="1" readingOrder="1" mc:Ignorable="vyd"/>
    </s:xf>
    <s:xf numFmtId="0" fontId="24" fillId="10" borderId="26" xfId="0" applyFont="1" applyFill="1" applyBorder="1" applyAlignment="1">
      <s:alignment horizontal="center" vertical="center" wrapText="1" readingOrder="1" mc:Ignorable="vyd"/>
    </s:xf>
    <s:xf numFmtId="0" fontId="24" fillId="9" borderId="26" xfId="0" applyFont="1" applyFill="1" applyBorder="1" applyAlignment="1">
      <s:alignment horizontal="center" vertical="center" wrapText="1" readingOrder="1" mc:Ignorable="vyd"/>
    </s:xf>
    <s:xf numFmtId="0" fontId="23" fillId="8" borderId="28" xfId="0" applyFont="1" applyFill="1" applyBorder="1" applyAlignment="1">
      <s:alignment horizontal="center" vertical="center" wrapText="1" readingOrder="1" mc:Ignorable="vyd"/>
    </s:xf>
    <s:xf numFmtId="0" fontId="23" fillId="8" borderId="29" xfId="0" applyFont="1" applyFill="1" applyBorder="1" applyAlignment="1">
      <s:alignment horizontal="center" vertical="center" wrapText="1" readingOrder="1" mc:Ignorable="vyd"/>
    </s:xf>
    <s:xf numFmtId="0" fontId="22" fillId="0" borderId="27" xfId="0" applyFont="1" applyBorder="1" applyAlignment="1">
      <s:alignment horizontal="center" mc:Ignorable="vyd"/>
    </s:xf>
    <s:xf numFmtId="0" fontId="22" fillId="0" borderId="5" xfId="0" applyFont="1" applyBorder="1" applyAlignment="1">
      <s:alignment horizontal="center" mc:Ignorable="vyd"/>
    </s:xf>
    <s:xf numFmtId="0" fontId="23" fillId="8" borderId="30" xfId="0" applyFont="1" applyFill="1" applyBorder="1" applyAlignment="1">
      <s:alignment horizontal="center" vertical="center" wrapText="1" readingOrder="1" mc:Ignorable="vyd"/>
    </s:xf>
    <s:xf numFmtId="0" fontId="23" fillId="8" borderId="31" xfId="0" applyFont="1" applyFill="1" applyBorder="1" applyAlignment="1">
      <s:alignment horizontal="center" vertical="center" wrapText="1" readingOrder="1" mc:Ignorable="vyd"/>
    </s:xf>
    <s:xf numFmtId="0" fontId="23" fillId="8" borderId="32" xfId="0" applyFont="1" applyFill="1" applyBorder="1" applyAlignment="1">
      <s:alignment horizontal="center" vertical="center" wrapText="1" readingOrder="1" mc:Ignorable="vyd"/>
    </s:xf>
    <s:xf numFmtId="0" fontId="24" fillId="9" borderId="34" xfId="0" applyFont="1" applyFill="1" applyBorder="1" applyAlignment="1">
      <s:alignment horizontal="center" vertical="center" wrapText="1" readingOrder="1" mc:Ignorable="vyd"/>
    </s:xf>
    <s:xf numFmtId="0" fontId="24" fillId="10" borderId="36" xfId="0" applyFont="1" applyFill="1" applyBorder="1" applyAlignment="1">
      <s:alignment horizontal="center" vertical="center" wrapText="1" readingOrder="1" mc:Ignorable="vyd"/>
    </s:xf>
    <s:xf numFmtId="0" fontId="24" fillId="9" borderId="36" xfId="0" applyFont="1" applyFill="1" applyBorder="1" applyAlignment="1">
      <s:alignment horizontal="center" vertical="center" wrapText="1" readingOrder="1" mc:Ignorable="vyd"/>
    </s:xf>
    <s:xf numFmtId="0" fontId="24" fillId="10" borderId="40" xfId="0" applyFont="1" applyFill="1" applyBorder="1" applyAlignment="1">
      <s:alignment horizontal="center" vertical="center" wrapText="1" readingOrder="1" mc:Ignorable="vyd"/>
    </s:xf>
    <s:xf numFmtId="0" fontId="24" fillId="10" borderId="41" xfId="0" applyFont="1" applyFill="1" applyBorder="1" applyAlignment="1">
      <s:alignment horizontal="center" vertical="center" wrapText="1" readingOrder="1" mc:Ignorable="vyd"/>
    </s:xf>
    <s:xf numFmtId="0" fontId="25" fillId="0" borderId="0" xfId="0" applyFont="1"/>
    <s:xf numFmtId="0" fontId="25" fillId="11" borderId="0" xfId="0" applyFont="1" applyFill="1" applyAlignment="1">
      <s:alignment horizontal="center" vertical="center" mc:Ignorable="vyd"/>
    </s:xf>
    <s:xf numFmtId="0" fontId="25" fillId="11" borderId="0" xfId="0" applyFont="1" applyFill="1"/>
    <s:xf numFmtId="164" fontId="28" fillId="7" borderId="23" xfId="0" applyNumberFormat="1" applyFont="1" applyFill="1" applyBorder="1" applyAlignment="1">
      <s:alignment horizontal="center" vertical="center" mc:Ignorable="vyd"/>
    </s:xf>
    <s:xf numFmtId="0" fontId="29" fillId="7" borderId="22" xfId="0" applyFont="1" applyFill="1" applyBorder="1" applyAlignment="1">
      <s:alignment horizontal="center" vertical="center" mc:Ignorable="vyd"/>
    </s:xf>
    <s:xf numFmtId="164" fontId="27" fillId="5" borderId="21" xfId="0" applyNumberFormat="1" applyFont="1" applyFill="1" applyBorder="1" applyAlignment="1">
      <s:alignment horizontal="center" vertical="center" mc:Ignorable="vyd"/>
    </s:xf>
    <s:xf numFmtId="0" fontId="27" fillId="3" borderId="20" xfId="0" applyFont="1" applyFill="1" applyBorder="1" applyAlignment="1">
      <s:alignment horizontal="center" vertical="center" mc:Ignorable="vyd"/>
    </s:xf>
    <s:xf numFmtId="0" fontId="27" fillId="2" borderId="7" xfId="0" applyFont="1" applyFill="1" applyBorder="1" applyAlignment="1">
      <s:alignment horizontal="center" vertical="center" mc:Ignorable="vyd"/>
    </s:xf>
    <s:xf numFmtId="0" fontId="27" fillId="3" borderId="1" xfId="0" applyFont="1" applyFill="1" applyBorder="1" applyAlignment="1">
      <s:alignment horizontal="center" vertical="center" wrapText="1" mc:Ignorable="vyd"/>
    </s:xf>
    <s:xf numFmtId="0" fontId="27" fillId="2" borderId="9" xfId="0" applyFont="1" applyFill="1" applyBorder="1" applyAlignment="1">
      <s:alignment horizontal="center" vertical="center" mc:Ignorable="vyd"/>
    </s:xf>
    <s:xf numFmtId="0" fontId="27" fillId="2" borderId="12" xfId="0" applyFont="1" applyFill="1" applyBorder="1" applyAlignment="1">
      <s:alignment horizontal="center" vertical="center" mc:Ignorable="vyd"/>
    </s:xf>
    <s:xf numFmtId="0" fontId="27" fillId="3" borderId="12" xfId="0" applyFont="1" applyFill="1" applyBorder="1" applyAlignment="1">
      <s:alignment horizontal="center" vertical="center" mc:Ignorable="vyd"/>
    </s:xf>
    <s:xf numFmtId="0" fontId="27" fillId="2" borderId="8" xfId="0" applyFont="1" applyFill="1" applyBorder="1" applyAlignment="1">
      <s:alignment horizontal="center" vertical="center" mc:Ignorable="vyd"/>
    </s:xf>
    <s:xf numFmtId="0" fontId="27" fillId="2" borderId="11" xfId="0" applyFont="1" applyFill="1" applyBorder="1" applyAlignment="1">
      <s:alignment horizontal="center" vertical="center" mc:Ignorable="vyd"/>
    </s:xf>
    <s:xf numFmtId="0" fontId="27" fillId="3" borderId="11" xfId="0" applyFont="1" applyFill="1" applyBorder="1" applyAlignment="1">
      <s:alignment horizontal="center" vertical="center" mc:Ignorable="vyd"/>
    </s:xf>
    <s:xf numFmtId="0" fontId="30" fillId="0" borderId="0" xfId="0" applyFont="1"/>
    <s:xf numFmtId="164" fontId="27" fillId="4" borderId="5" xfId="0" applyNumberFormat="1" applyFont="1" applyFill="1" applyBorder="1" applyAlignment="1">
      <s:alignment horizontal="center" vertical="center" mc:Ignorable="vyd"/>
    </s:xf>
    <s:xf numFmtId="0" fontId="27" fillId="3" borderId="16" xfId="0" applyFont="1" applyFill="1" applyBorder="1" applyAlignment="1">
      <s:alignment horizontal="center" vertical="center" mc:Ignorable="vyd"/>
    </s:xf>
    <s:xf numFmtId="0" fontId="27" fillId="4" borderId="4" xfId="0" applyFont="1" applyFill="1" applyBorder="1" applyAlignment="1">
      <s:alignment horizontal="center" vertical="center" mc:Ignorable="vyd"/>
    </s:xf>
    <s:xf numFmtId="0" fontId="27" fillId="3" borderId="14" xfId="0" applyFont="1" applyFill="1" applyBorder="1" applyAlignment="1">
      <s:alignment horizontal="center" vertical="center" mc:Ignorable="vyd"/>
    </s:xf>
    <s:xf numFmtId="0" fontId="27" fillId="4" borderId="6" xfId="0" applyFont="1" applyFill="1" applyBorder="1" applyAlignment="1">
      <s:alignment horizontal="center" vertical="center" mc:Ignorable="vyd"/>
    </s:xf>
    <s:xf numFmtId="0" fontId="27" fillId="3" borderId="13" xfId="0" applyFont="1" applyFill="1" applyBorder="1" applyAlignment="1">
      <s:alignment horizontal="center" vertical="center" mc:Ignorable="vyd"/>
    </s:xf>
    <s:xf numFmtId="0" fontId="27" fillId="2" borderId="18" xfId="0" applyFont="1" applyFill="1" applyBorder="1" applyAlignment="1">
      <s:alignment horizontal="center" vertical="center" mc:Ignorable="vyd"/>
    </s:xf>
    <s:xf numFmtId="0" fontId="27" fillId="2" borderId="10" xfId="0" applyFont="1" applyFill="1" applyBorder="1" applyAlignment="1">
      <s:alignment horizontal="center" vertical="center" mc:Ignorable="vyd"/>
    </s:xf>
    <s:xf numFmtId="0" fontId="27" fillId="6" borderId="7" xfId="0" applyFont="1" applyFill="1" applyBorder="1" applyAlignment="1">
      <s:alignment horizontal="center" vertical="center" mc:Ignorable="vyd"/>
    </s:xf>
    <s:xf numFmtId="16" fontId="27" fillId="6" borderId="7" xfId="0" applyNumberFormat="1" applyFont="1" applyFill="1" applyBorder="1" applyAlignment="1">
      <s:alignment horizontal="center" vertical="center" mc:Ignorable="vyd"/>
    </s:xf>
    <s:xf numFmtId="0" fontId="27" fillId="6" borderId="15" xfId="0" applyFont="1" applyFill="1" applyBorder="1" applyAlignment="1">
      <s:alignment horizontal="center" vertical="center" mc:Ignorable="vyd"/>
    </s:xf>
    <s:xf numFmtId="164" fontId="2" fillId="0" borderId="0" xfId="0" applyNumberFormat="1" applyFont="1" applyAlignment="1">
      <s:alignment horizontal="center" vertical="center" mc:Ignorable="vyd"/>
    </s:xf>
    <s:xf numFmtId="0" fontId="31" fillId="0" borderId="0" xfId="0" applyFont="1"/>
    <s:xf numFmtId="0" fontId="32" fillId="0" borderId="0" xfId="0" applyFont="1"/>
    <s:xf numFmtId="0" fontId="32" fillId="0" borderId="0" xfId="0" applyFont="1" applyAlignment="1">
      <s:alignment horizontal="center" vertical="center" mc:Ignorable="vyd"/>
    </s:xf>
    <s:xf numFmtId="0" fontId="27" fillId="3" borderId="19" xfId="0" applyFont="1" applyFill="1" applyBorder="1" applyAlignment="1">
      <s:alignment horizontal="center" vertical="center" mc:Ignorable="vyd"/>
    </s:xf>
    <s:xf numFmtId="164" fontId="27" fillId="5" borderId="17" xfId="0" applyNumberFormat="1" applyFont="1" applyFill="1" applyBorder="1" applyAlignment="1">
      <s:alignment horizontal="center" vertical="center" mc:Ignorable="vyd"/>
    </s:xf>
    <s:xf numFmtId="0" fontId="29" fillId="7" borderId="42" xfId="0" applyFont="1" applyFill="1" applyBorder="1" applyAlignment="1">
      <s:alignment horizontal="center" vertical="center" mc:Ignorable="vyd"/>
    </s:xf>
    <s:xf numFmtId="164" fontId="28" fillId="7" borderId="43" xfId="0" applyNumberFormat="1" applyFont="1" applyFill="1" applyBorder="1" applyAlignment="1">
      <s:alignment horizontal="center" vertical="center" mc:Ignorable="vyd"/>
    </s:xf>
    <s:xf numFmtId="0" fontId="26" fillId="0" borderId="0" xfId="0" applyFont="1"/>
    <s:xf numFmtId="164" fontId="27" fillId="2" borderId="7" xfId="0" applyNumberFormat="1" applyFont="1" applyFill="1" applyBorder="1" applyAlignment="1">
      <s:alignment horizontal="center" vertical="center" mc:Ignorable="vyd"/>
    </s:xf>
    <s:xf numFmtId="0" fontId="27" fillId="3" borderId="19" xfId="0" applyFont="1" applyFill="1" applyBorder="1" applyAlignment="1">
      <s:alignment horizontal="center" vertical="center" wrapText="1" mc:Ignorable="vyd"/>
    </s:xf>
    <s:xf numFmtId="164" fontId="27" fillId="2" borderId="17" xfId="0" applyNumberFormat="1" applyFont="1" applyFill="1" applyBorder="1" applyAlignment="1">
      <s:alignment horizontal="center" vertical="center" mc:Ignorable="vyd"/>
    </s:xf>
    <s:xf numFmtId="164" fontId="27" fillId="4" borderId="4" xfId="0" applyNumberFormat="1" applyFont="1" applyFill="1" applyBorder="1" applyAlignment="1">
      <s:alignment horizontal="center" vertical="center" mc:Ignorable="vyd"/>
    </s:xf>
    <s:xf numFmtId="2" fontId="27" fillId="4" borderId="4" xfId="0" applyNumberFormat="1" applyFont="1" applyFill="1" applyBorder="1" applyAlignment="1">
      <s:alignment horizontal="center" vertical="center" mc:Ignorable="vyd"/>
    </s:xf>
    <s:xf numFmtId="0" fontId="27" fillId="11" borderId="13" xfId="0" applyFont="1" applyFill="1" applyBorder="1" applyAlignment="1">
      <s:alignment horizontal="center" vertical="center" mc:Ignorable="vyd"/>
    </s:xf>
    <s:xf numFmtId="0" fontId="27" fillId="11" borderId="6" xfId="0" applyFont="1" applyFill="1" applyBorder="1" applyAlignment="1">
      <s:alignment horizontal="center" vertical="center" mc:Ignorable="vyd"/>
    </s:xf>
    <s:xf numFmtId="49" fontId="27" fillId="2" borderId="18" xfId="0" applyNumberFormat="1" applyFont="1" applyFill="1" applyBorder="1" applyAlignment="1">
      <s:alignment horizontal="center" vertical="center" mc:Ignorable="vyd"/>
    </s:xf>
    <s:xf numFmtId="0" fontId="9" fillId="3" borderId="1" xfId="0" applyFont="1" applyFill="1" applyBorder="1" applyAlignment="1">
      <s:alignment horizontal="center" vertical="center" mc:Ignorable="vyd"/>
    </s:xf>
    <s:xf numFmtId="0" fontId="9" fillId="3" borderId="2" xfId="0" applyFont="1" applyFill="1" applyBorder="1" applyAlignment="1">
      <s:alignment horizontal="center" vertical="center" mc:Ignorable="vyd"/>
    </s:xf>
    <s:xf numFmtId="0" fontId="9" fillId="3" borderId="3" xfId="0" applyFont="1" applyFill="1" applyBorder="1" applyAlignment="1">
      <s:alignment horizontal="center" vertical="center" mc:Ignorable="vyd"/>
    </s:xf>
    <s:xf numFmtId="0" fontId="11" fillId="0" borderId="0" xfId="0" applyFont="1" applyAlignment="1">
      <s:alignment horizontal="center" vertical="center" mc:Ignorable="vyd"/>
    </s:xf>
    <s:xf numFmtId="0" fontId="14" fillId="0" borderId="0" xfId="0" applyFont="1" applyAlignment="1">
      <s:alignment horizontal="center" mc:Ignorable="vyd"/>
    </s:xf>
    <s:xf numFmtId="0" fontId="3" fillId="0" borderId="0" xfId="0" applyFont="1" applyAlignment="1">
      <s:alignment horizontal="center" vertical="center" mc:Ignorable="vyd"/>
    </s:xf>
    <s:xf numFmtId="0" fontId="3" fillId="0" borderId="0" xfId="0" applyFont="1" applyAlignment="1">
      <s:alignment horizontal="center" mc:Ignorable="vyd"/>
    </s:xf>
    <s:xf numFmtId="0" fontId="5" fillId="3" borderId="1" xfId="0" applyFont="1" applyFill="1" applyBorder="1" applyAlignment="1">
      <s:alignment horizontal="center" vertical="center" mc:Ignorable="vyd"/>
    </s:xf>
    <s:xf numFmtId="0" fontId="5" fillId="3" borderId="2" xfId="0" applyFont="1" applyFill="1" applyBorder="1" applyAlignment="1">
      <s:alignment horizontal="center" vertical="center" mc:Ignorable="vyd"/>
    </s:xf>
    <s:xf numFmtId="0" fontId="5" fillId="3" borderId="3" xfId="0" applyFont="1" applyFill="1" applyBorder="1" applyAlignment="1">
      <s:alignment horizontal="center" vertical="center" mc:Ignorable="vyd"/>
    </s:xf>
    <s:xf numFmtId="0" fontId="27" fillId="3" borderId="1" xfId="0" applyFont="1" applyFill="1" applyBorder="1" applyAlignment="1">
      <s:alignment horizontal="center" vertical="center" mc:Ignorable="vyd"/>
    </s:xf>
    <s:xf numFmtId="0" fontId="27" fillId="3" borderId="2" xfId="0" applyFont="1" applyFill="1" applyBorder="1" applyAlignment="1">
      <s:alignment horizontal="center" vertical="center" mc:Ignorable="vyd"/>
    </s:xf>
    <s:xf numFmtId="0" fontId="27" fillId="3" borderId="3" xfId="0" applyFont="1" applyFill="1" applyBorder="1" applyAlignment="1">
      <s:alignment horizontal="center" vertical="center" mc:Ignorable="vyd"/>
    </s:xf>
    <s:xf numFmtId="0" fontId="32" fillId="0" borderId="0" xfId="0" applyFont="1" applyAlignment="1">
      <s:alignment horizontal="center" mc:Ignorable="vyd"/>
    </s:xf>
    <s:xf numFmtId="0" fontId="24" fillId="9" borderId="33" xfId="0" applyFont="1" applyFill="1" applyBorder="1" applyAlignment="1">
      <s:alignment horizontal="center" vertical="center" textRotation="90" wrapText="1" readingOrder="1" mc:Ignorable="vyd"/>
    </s:xf>
    <s:xf numFmtId="0" fontId="24" fillId="9" borderId="35" xfId="0" applyFont="1" applyFill="1" applyBorder="1" applyAlignment="1">
      <s:alignment horizontal="center" vertical="center" textRotation="90" wrapText="1" readingOrder="1" mc:Ignorable="vyd"/>
    </s:xf>
    <s:xf numFmtId="0" fontId="24" fillId="9" borderId="37" xfId="0" applyFont="1" applyFill="1" applyBorder="1" applyAlignment="1">
      <s:alignment horizontal="center" vertical="center" textRotation="90" wrapText="1" readingOrder="1" mc:Ignorable="vyd"/>
    </s:xf>
    <s:xf numFmtId="0" fontId="24" fillId="9" borderId="38" xfId="0" applyFont="1" applyFill="1" applyBorder="1" applyAlignment="1">
      <s:alignment horizontal="center" vertical="center" textRotation="90" wrapText="1" readingOrder="1" mc:Ignorable="vyd"/>
    </s:xf>
    <s:xf numFmtId="0" fontId="24" fillId="9" borderId="39" xfId="0" applyFont="1" applyFill="1" applyBorder="1" applyAlignment="1">
      <s:alignment horizontal="center" vertical="center" textRotation="90" wrapText="1" readingOrder="1" mc:Ignorable="vyd"/>
    </s:xf>
    <s:xf numFmtId="0" fontId="32" fillId="0" borderId="0" xfId="0" applyNumberFormat="1" applyFont="1" applyAlignment="1">
      <s:alignment horizontal="center" vertical="center" mc:Ignorable="vyd"/>
    </s:xf>
  </s:cellXfs>
  <s:cellStyles count="1">
    <s:cellStyle name="Обычный" xfId="0" builtinId="0"/>
  </s:cellStyles>
  <s:dxfs count="0"/>
  <s:tableStyles count="0" defaultTableStyle="TableStyleMedium9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8" Type="http://schemas.openxmlformats.org/officeDocument/2006/relationships/sharedStrings" Target="sharedStrings.xml"/><Relationship Id="rId6" Type="http://schemas.openxmlformats.org/officeDocument/2006/relationships/styles" Target="styles.xml"/><Relationship Target="theme/theme1.xml" Type="http://schemas.openxmlformats.org/officeDocument/2006/relationships/theme" Id="rId7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/Relationships>
</file>

<file path=xl/charts/chart1.xml><?xml version="1.0" encoding="utf-8"?>
<c:chartSpace xmlns:a="http://schemas.openxmlformats.org/drawingml/2006/main" xmlns:unk4="http://schemas.microsoft.com/office/drawing/2014/chart" xmlns:c="http://schemas.openxmlformats.org/drawingml/2006/chart" xmlns:c15="http://schemas.microsoft.com/office/drawing/2012/chart" xmlns:vyd="http://volga.yandex.com/schemas/document/model" xmlns:mc="http://schemas.openxmlformats.org/markup-compatibility/2006">
  <c:date1904 val="0"/>
  <c:lang val="ru-RU"/>
  <c:roundedCorners val="0"/>
  <c:chart>
    <c:title mc:Ignorable="vyd">
      <c:overlay val="0"/>
      <c:spPr>
        <a:noFill/>
        <a:ln>
          <a:noFill/>
        </a:ln>
        <a:effectLst/>
      </c:spPr>
      <c:txPr>
        <a:bodyPr rot="0" spcFirstLastPara="1" vertOverflow="ellipsis" wrap="square" anchorCtr="1" vert="horz" lIns="0" tIns="0" rIns="0" bIns="0" anchor="ctr"/>
        <a:lstStyle/>
        <a:p>
          <a:pPr>
            <a:defRPr kern="1200" baseline="0" sz="1600" b="1" i="0" u="none" strike="noStrike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женщины!$C$12</c:f>
              <c:numCache>
                <c:formatCode>0.0</c:formatCode>
                <c:ptCount val="1"/>
                <c:pt idx="0">
                  <c:v>22.997987029464284</c:v>
                </c:pt>
              </c:numCache>
            </c:numRef>
          </c:val>
          <c:extLst>
            <c:ext uri="{C3380CC4-5D6E-409C-BE32-E72D297353CC}">
              <unk4:uniqueId val="{00000000-B822-4B9C-A442-646C54759DB9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женщины!$D$12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4:uniqueId val="{00000001-B822-4B9C-A442-646C54759DB9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женщины!$E$12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4:uniqueId val="{00000002-B822-4B9C-A442-646C54759DB9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женщины!$F$12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4:uniqueId val="{00000003-B822-4B9C-A442-646C54759DB9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женщины!$G$12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4:uniqueId val="{00000004-B822-4B9C-A442-646C54759D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0428160"/>
        <c:axId val="70429696"/>
      </c:barChart>
      <c:valAx>
        <c:axId val="70429696"/>
        <c:scaling>
          <c:orientation val="minMax"/>
        </c:scaling>
        <c:delete val="0"/>
        <c:axPos val="l"/>
        <c:majorGridlines>
          <c:spPr bwMode="auto"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0428160"/>
        <c:crosses val="autoZero"/>
        <c:crossBetween val="between"/>
      </c:valAx>
      <c:catAx>
        <c:axId val="7042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04296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 lIns="0" tIns="0" rIns="0" bIns="0"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a="http://schemas.openxmlformats.org/drawingml/2006/main" xmlns:unk4="http://schemas.microsoft.com/office/drawing/2014/chart" xmlns:c="http://schemas.openxmlformats.org/drawingml/2006/chart" xmlns:c15="http://schemas.microsoft.com/office/drawing/2012/chart">
  <c:date1904 val="0"/>
  <c:lang val="ru-RU"/>
  <c:roundedCorners val="0"/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мужчины!$B$13</c:f>
              <c:strCache>
                <c:ptCount val="1"/>
                <c:pt idx="0">
                  <c:v>% жира</c:v>
                </c:pt>
              </c:strCache>
            </c:strRef>
          </c:cat>
          <c:val>
            <c:numRef>
              <c:f>мужчины!$C$13</c:f>
              <c:numCache>
                <c:formatCode>0.0</c:formatCode>
                <c:ptCount val="1"/>
                <c:pt idx="0">
                  <c:v>11.490485194281399</c:v>
                </c:pt>
              </c:numCache>
            </c:numRef>
          </c:val>
          <c:extLst>
            <c:ext uri="{C3380CC4-5D6E-409C-BE32-E72D297353CC}">
              <unk4:uniqueId val="{00000000-D76E-4005-96ED-B608A9D8F6C4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мужчины!$B$13</c:f>
              <c:strCache>
                <c:ptCount val="1"/>
                <c:pt idx="0">
                  <c:v>% жира</c:v>
                </c:pt>
              </c:strCache>
            </c:strRef>
          </c:cat>
          <c:val>
            <c:numRef>
              <c:f>мужчины!$D$13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4:uniqueId val="{00000001-D76E-4005-96ED-B608A9D8F6C4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мужчины!$B$13</c:f>
              <c:strCache>
                <c:ptCount val="1"/>
                <c:pt idx="0">
                  <c:v>% жира</c:v>
                </c:pt>
              </c:strCache>
            </c:strRef>
          </c:cat>
          <c:val>
            <c:numRef>
              <c:f>мужчины!$E$13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4:uniqueId val="{00000002-D76E-4005-96ED-B608A9D8F6C4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мужчины!$B$13</c:f>
              <c:strCache>
                <c:ptCount val="1"/>
                <c:pt idx="0">
                  <c:v>% жира</c:v>
                </c:pt>
              </c:strCache>
            </c:strRef>
          </c:cat>
          <c:val>
            <c:numRef>
              <c:f>мужчины!$F$13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4:uniqueId val="{00000003-D76E-4005-96ED-B608A9D8F6C4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мужчины!$B$13</c:f>
              <c:strCache>
                <c:ptCount val="1"/>
                <c:pt idx="0">
                  <c:v>% жира</c:v>
                </c:pt>
              </c:strCache>
            </c:strRef>
          </c:cat>
          <c:val>
            <c:numRef>
              <c:f>мужчины!$G$13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4:uniqueId val="{00000004-D76E-4005-96ED-B608A9D8F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4111232"/>
        <c:axId val="74006528"/>
      </c:barChart>
      <c:valAx>
        <c:axId val="74006528"/>
        <c:scaling>
          <c:orientation val="minMax"/>
        </c:scaling>
        <c:delete val="0"/>
        <c:axPos val="l"/>
        <c:majorGridlines>
          <c:spPr bwMode="auto"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4111232"/>
        <c:crosses val="autoZero"/>
        <c:crossBetween val="between"/>
      </c:valAx>
      <c:catAx>
        <c:axId val="7411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4006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 lIns="0" tIns="0" rIns="0" bIns="0"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a="http://schemas.openxmlformats.org/drawingml/2006/main" xmlns:unk4="http://schemas.microsoft.com/office/drawing/2014/chart" xmlns:c="http://schemas.openxmlformats.org/drawingml/2006/chart" xmlns:c15="http://schemas.microsoft.com/office/drawing/2012/chart" xmlns:vyd="http://volga.yandex.com/schemas/document/model" xmlns:mc="http://schemas.openxmlformats.org/markup-compatibility/2006">
  <c:date1904 val="0"/>
  <c:lang val="ru-RU"/>
  <c:roundedCorners val="0"/>
  <c:chart>
    <c:title mc:Ignorable="vyd">
      <c:overlay val="0"/>
      <c:spPr>
        <a:noFill/>
        <a:ln>
          <a:noFill/>
        </a:ln>
        <a:effectLst/>
      </c:spPr>
      <c:txPr>
        <a:bodyPr rot="0" spcFirstLastPara="1" vertOverflow="ellipsis" wrap="square" anchorCtr="1" vert="horz" lIns="0" tIns="0" rIns="0" bIns="0" anchor="ctr"/>
        <a:lstStyle/>
        <a:p>
          <a:pPr>
            <a:defRPr kern="1200" baseline="0" sz="1600" b="1" i="0" u="none" strike="noStrike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'калипер женщина'!$D$13</c:f>
              <c:numCache>
                <c:formatCode>0.0</c:formatCode>
                <c:ptCount val="1"/>
                <c:pt idx="0">
                  <c:v>19.619652341911994</c:v>
                </c:pt>
              </c:numCache>
            </c:numRef>
          </c:val>
          <c:extLst>
            <c:ext uri="{C3380CC4-5D6E-409C-BE32-E72D297353CC}">
              <unk4:uniqueId val="{00000000-02A8-4A42-A51C-300CF234475F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'калипер женщина'!$E$13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4:uniqueId val="{00000001-02A8-4A42-A51C-300CF234475F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'калипер женщина'!$F$13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4:uniqueId val="{00000002-02A8-4A42-A51C-300CF234475F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'калипер женщина'!$G$13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4:uniqueId val="{00000003-02A8-4A42-A51C-300CF234475F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'калипер женщина'!$H$13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4:uniqueId val="{00000004-02A8-4A42-A51C-300CF23447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4175232"/>
        <c:axId val="74176768"/>
      </c:barChart>
      <c:valAx>
        <c:axId val="74176768"/>
        <c:scaling>
          <c:orientation val="minMax"/>
        </c:scaling>
        <c:delete val="0"/>
        <c:axPos val="l"/>
        <c:majorGridlines>
          <c:spPr bwMode="auto"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4175232"/>
        <c:crosses val="autoZero"/>
        <c:crossBetween val="between"/>
      </c:valAx>
      <c:catAx>
        <c:axId val="74175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41767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 lIns="0" tIns="0" rIns="0" bIns="0"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unk4="http://schemas.microsoft.com/office/drawing/2014/chart" xmlns:unk5="http://schemas.microsoft.com/office/drawing/2017/03/chart" xmlns:c15="http://schemas.microsoft.com/office/drawing/2012/chart" xmlns:mc="http://schemas.openxmlformats.org/markup-compatibility/2006" xmlns:vyd="http://volga.yandex.com/schemas/document/model" xmlns:a="http://schemas.openxmlformats.org/drawingml/2006/main">
  <c:date1904 val="0"/>
  <c:lang val="ru-RU"/>
  <c:roundedCorners val="0"/>
  <c:chart>
    <c:title mc:Ignorable="vyd">
      <c:overlay val="0"/>
      <c:spPr>
        <a:noFill/>
        <a:ln>
          <a:noFill/>
        </a:ln>
        <a:effectLst/>
      </c:spPr>
      <c:txPr>
        <a:bodyPr rot="0" spcFirstLastPara="1" vertOverflow="ellipsis" wrap="square" anchorCtr="1" vert="horz" lIns="0" tIns="0" rIns="0" bIns="0" anchor="ctr"/>
        <a:lstStyle/>
        <a:p>
          <a:pPr>
            <a:defRPr kern="1200" baseline="0" b="0" i="0" u="none" strike="noStrike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'калипер женщина'!$C$14</c:f>
              <c:strCache>
                <c:ptCount val="1"/>
                <c:pt idx="0">
                  <c:v>LBM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'калипер женщина'!$D$14:$H$14</c:f>
              <c:numCache>
                <c:formatCode>0.0</c:formatCode>
                <c:ptCount val="5"/>
                <c:pt idx="0">
                  <c:v>47.826306856562361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uri="{C3380CC4-5D6E-409C-BE32-E72D297353CC}">
              <unk4:uniqueId val="{00000000-4668-D249-A200-7C39D81594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4619520"/>
        <c:axId val="74625408"/>
      </c:barChart>
      <c:valAx>
        <c:axId val="74625408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74619520"/>
        <c:crosses val="autoZero"/>
        <c:crossBetween val="between"/>
      </c:valAx>
      <c:catAx>
        <c:axId val="74619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KZ"/>
          </a:p>
        </c:txPr>
        <c:crossAx val="74625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uri="{56B9EC1D-385E-4148-901F-78D8002777C0}">
        <unk5:dataDisplayOptions16>
          <unk5:dispNaAsBlank val="1"/>
        </unk5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lIns="0" tIns="0" rIns="0" bIns="0"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a="http://schemas.openxmlformats.org/drawingml/2006/main" xmlns:unk4="http://schemas.microsoft.com/office/drawing/2014/chart" xmlns:c="http://schemas.openxmlformats.org/drawingml/2006/chart" xmlns:c15="http://schemas.microsoft.com/office/drawing/2012/chart">
  <c:date1904 val="0"/>
  <c:lang val="ru-RU"/>
  <c:roundedCorners val="0"/>
  <c:chart>
    <c:autoTitleDeleted val="0"/>
    <c:plotArea>
      <c:layout>
        <c:manualLayout>
          <c:layoutTarget val="inner"/>
          <c:xMode val="edge"/>
          <c:yMode val="edge"/>
          <c:x val="0.082"/>
          <c:y val="0.047"/>
          <c:w val="0.918"/>
          <c:h val="0.9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'карипер мужчина (2)'!$C$14</c:f>
              <c:strCache>
                <c:ptCount val="1"/>
                <c:pt idx="0">
                  <c:v>% жира</c:v>
                </c:pt>
              </c:strCache>
            </c:strRef>
          </c:cat>
          <c:val>
            <c:numRef>
              <c:f>'карипер мужчина (2)'!$D$14</c:f>
              <c:numCache>
                <c:formatCode>0.0</c:formatCode>
                <c:ptCount val="1"/>
                <c:pt idx="0">
                  <c:v>10.410529244933098</c:v>
                </c:pt>
              </c:numCache>
            </c:numRef>
          </c:val>
          <c:extLst>
            <c:ext uri="{C3380CC4-5D6E-409C-BE32-E72D297353CC}">
              <unk4:uniqueId val="{00000000-DE19-2546-A241-6316CC70EB42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'карипер мужчина (2)'!$C$14</c:f>
              <c:strCache>
                <c:ptCount val="1"/>
                <c:pt idx="0">
                  <c:v>% жира</c:v>
                </c:pt>
              </c:strCache>
            </c:strRef>
          </c:cat>
          <c:val>
            <c:numRef>
              <c:f>'карипер мужчина (2)'!$E$14</c:f>
              <c:numCache>
                <c:formatCode>0.0</c:formatCode>
                <c:ptCount val="1"/>
                <c:pt idx="0">
                  <c:v>9.5418664576888759</c:v>
                </c:pt>
              </c:numCache>
            </c:numRef>
          </c:val>
          <c:extLst>
            <c:ext uri="{C3380CC4-5D6E-409C-BE32-E72D297353CC}">
              <unk4:uniqueId val="{00000001-DE19-2546-A241-6316CC70EB4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'карипер мужчина (2)'!$C$14</c:f>
              <c:strCache>
                <c:ptCount val="1"/>
                <c:pt idx="0">
                  <c:v>% жира</c:v>
                </c:pt>
              </c:strCache>
            </c:strRef>
          </c:cat>
          <c:val>
            <c:numRef>
              <c:f>'карипер мужчина (2)'!$F$14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4:uniqueId val="{00000002-DE19-2546-A241-6316CC70EB42}"/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'карипер мужчина (2)'!$C$14</c:f>
              <c:strCache>
                <c:ptCount val="1"/>
                <c:pt idx="0">
                  <c:v>% жира</c:v>
                </c:pt>
              </c:strCache>
            </c:strRef>
          </c:cat>
          <c:val>
            <c:numRef>
              <c:f>'карипер мужчина (2)'!$G$14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4:uniqueId val="{00000003-DE19-2546-A241-6316CC70EB42}"/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'карипер мужчина (2)'!$C$14</c:f>
              <c:strCache>
                <c:ptCount val="1"/>
                <c:pt idx="0">
                  <c:v>% жира</c:v>
                </c:pt>
              </c:strCache>
            </c:strRef>
          </c:cat>
          <c:val>
            <c:numRef>
              <c:f>'карипер мужчина (2)'!$H$14</c:f>
              <c:numCache>
                <c:formatCode>0.0</c:formatCode>
                <c:ptCount val="1"/>
                <c:pt idx="0">
                  <c:v>0</c:v>
                </c:pt>
              </c:numCache>
            </c:numRef>
          </c:val>
          <c:extLst>
            <c:ext uri="{C3380CC4-5D6E-409C-BE32-E72D297353CC}">
              <unk4:uniqueId val="{00000004-DE19-2546-A241-6316CC70E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6002048"/>
        <c:axId val="76003584"/>
      </c:barChart>
      <c:valAx>
        <c:axId val="76003584"/>
        <c:scaling>
          <c:orientation val="minMax"/>
        </c:scaling>
        <c:delete val="0"/>
        <c:axPos val="l"/>
        <c:majorGridlines>
          <c:spPr bwMode="auto"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6002048"/>
        <c:crosses val="autoZero"/>
        <c:crossBetween val="between"/>
      </c:valAx>
      <c:catAx>
        <c:axId val="7600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6003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 lIns="0" tIns="0" rIns="0" bIns="0"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unk4="http://schemas.microsoft.com/office/drawing/2014/chart" xmlns:unk5="http://schemas.microsoft.com/office/drawing/2017/03/chart" xmlns:c15="http://schemas.microsoft.com/office/drawing/2012/chart" xmlns:mc="http://schemas.openxmlformats.org/markup-compatibility/2006" xmlns:vyd="http://volga.yandex.com/schemas/document/model" xmlns:a="http://schemas.openxmlformats.org/drawingml/2006/main">
  <c:date1904 val="0"/>
  <c:lang val="ru-RU"/>
  <c:roundedCorners val="0"/>
  <c:chart>
    <c:title mc:Ignorable="vyd">
      <c:overlay val="0"/>
      <c:spPr>
        <a:noFill/>
        <a:ln>
          <a:noFill/>
        </a:ln>
        <a:effectLst/>
      </c:spPr>
      <c:txPr>
        <a:bodyPr rot="0" spcFirstLastPara="1" vertOverflow="ellipsis" wrap="square" anchorCtr="1" vert="horz" lIns="0" tIns="0" rIns="0" bIns="0" anchor="ctr"/>
        <a:lstStyle/>
        <a:p>
          <a:pPr>
            <a:defRPr kern="1200" baseline="0" b="0" i="0" u="none" strike="noStrike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'карипер мужчина (2)'!$C$15</c:f>
              <c:strCache>
                <c:ptCount val="1"/>
                <c:pt idx="0">
                  <c:v>LBM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'карипер мужчина (2)'!$D$15:$H$15</c:f>
              <c:numCache>
                <c:formatCode>0.0</c:formatCode>
                <c:ptCount val="5"/>
                <c:pt idx="0">
                  <c:v>75.792692258786587</c:v>
                </c:pt>
                <c:pt idx="1">
                  <c:v>74.718418305948987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uri="{C3380CC4-5D6E-409C-BE32-E72D297353CC}">
              <unk4:uniqueId val="{00000000-126E-A04C-BDBC-F9787D0DFC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76101888"/>
        <c:axId val="76165120"/>
      </c:barChart>
      <c:valAx>
        <c:axId val="76165120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76101888"/>
        <c:crosses val="autoZero"/>
        <c:crossBetween val="between"/>
      </c:valAx>
      <c:catAx>
        <c:axId val="76101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ru-KZ"/>
          </a:p>
        </c:txPr>
        <c:crossAx val="76165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uri="{56B9EC1D-385E-4148-901F-78D8002777C0}">
        <unk5:dataDisplayOptions16>
          <unk5:dispNaAsBlank val="1"/>
        </unk5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lIns="0" tIns="0" rIns="0" bIns="0"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?><Relationships xmlns="http://schemas.openxmlformats.org/package/2006/relationships"><Relationship Target="../charts/chart1.xml" Type="http://schemas.openxmlformats.org/officeDocument/2006/relationships/chart" Id="rId1"/><Relationship Target="../media/image1.png" Type="http://schemas.openxmlformats.org/officeDocument/2006/relationships/image" Id="rId2"/></Relationships>
</file>

<file path=xl/drawings/_rels/drawing2.xml.rels><?xml version="1.0" ?><Relationships xmlns="http://schemas.openxmlformats.org/package/2006/relationships"><Relationship Target="../charts/chart2.xml" Type="http://schemas.openxmlformats.org/officeDocument/2006/relationships/chart" Id="rId1"/><Relationship Target="../media/image1.png" Type="http://schemas.openxmlformats.org/officeDocument/2006/relationships/image" Id="rId2"/></Relationships>
</file>

<file path=xl/drawings/_rels/drawing3.xml.rels><?xml version="1.0" ?><Relationships xmlns="http://schemas.openxmlformats.org/package/2006/relationships"><Relationship Target="../charts/chart3.xml" Type="http://schemas.openxmlformats.org/officeDocument/2006/relationships/chart" Id="rId1"/><Relationship Target="../media/image1.png" Type="http://schemas.openxmlformats.org/officeDocument/2006/relationships/image" Id="rId2"/><Relationship Target="../charts/chart4.xml" Type="http://schemas.openxmlformats.org/officeDocument/2006/relationships/chart" Id="rId3"/></Relationships>
</file>

<file path=xl/drawings/_rels/drawing4.xml.rels><?xml version="1.0" ?><Relationships xmlns="http://schemas.openxmlformats.org/package/2006/relationships"><Relationship Target="../charts/chart5.xml" Type="http://schemas.openxmlformats.org/officeDocument/2006/relationships/chart" Id="rId1"/><Relationship Target="../media/image1.png" Type="http://schemas.openxmlformats.org/officeDocument/2006/relationships/image" Id="rId2"/><Relationship Target="../charts/chart6.xml" Type="http://schemas.openxmlformats.org/officeDocument/2006/relationships/chart" Id="rId3"/></Relationships>
</file>

<file path=xl/drawings/drawing1.xml><?xml version="1.0" encoding="utf-8"?>
<xdr:wsDr xmlns:a="http://schemas.openxmlformats.org/drawingml/2006/main" xmlns:unk3="http://schemas.microsoft.com/office/drawing/2014/main" xmlns:c="http://schemas.openxmlformats.org/drawingml/2006/chart" xmlns:r="http://schemas.openxmlformats.org/officeDocument/2006/relationships" xmlns:xdr="http://schemas.openxmlformats.org/drawingml/2006/spreadsheetDrawing" xmlns:a14="http://schemas.microsoft.com/office/drawing/2010/main">
  <xdr:twoCellAnchor>
    <xdr:from>
      <xdr:col>7</xdr:col>
      <xdr:colOff>35380</xdr:colOff>
      <xdr:row>5</xdr:row>
      <xdr:rowOff>44450</xdr:rowOff>
    </xdr:from>
    <xdr:to>
      <xdr:col>14</xdr:col>
      <xdr:colOff>212272</xdr:colOff>
      <xdr:row>12</xdr:row>
      <xdr:rowOff>41728</xdr:rowOff>
    </xdr:to>
    <xdr:graphicFrame macro="">
      <xdr:nvGraphicFramePr>
        <xdr:cNvPr id="3" name="Диаграмма 2">
          <a:extLst>
            <a:ext uri="{FF2B5EF4-FFF2-40B4-BE49-F238E27FC236}">
              <unk3:creationId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oneCellAnchor editAs="oneCell">
    <xdr:from>
      <xdr:col>0</xdr:col>
      <xdr:colOff>90714</xdr:colOff>
      <xdr:row>1</xdr:row>
      <xdr:rowOff>19732</xdr:rowOff>
    </xdr:from>
    <xdr:to>
      <xdr:col>1</xdr:col>
      <xdr:colOff>2.089238845144357</xdr:colOff>
      <xdr:row>11</xdr:row>
      <xdr:rowOff>46.13406824146982</xdr:rowOff>
    </xdr:to>
    <xdr:ext/>
    <xdr:pic>
      <xdr:nvPicPr>
        <xdr:cNvPr descr="http://vmede.org/sait/content/Anatomija_stomat_kolesnikov_2010/1_files/mb4_014.png" id="4" name="Рисунок 3">
          <a:extLst>
            <a:ext uri="{FF2B5EF4-FFF2-40B4-BE49-F238E27FC236}">
              <unk3:creationId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r:embed="rId2">
          <a:extLst>
            <a:ext uri="{28A0092B-C50C-407E-A947-70E740481C1C}">
              <a14:useLocalDpi val="0"/>
            </a:ext>
          </a:extLst>
        </a:blip>
        <a:srcRect l="6278" t="271" r="48700" b="784"/>
        <a:stretch/>
      </xdr:blipFill>
      <xdr:spPr bwMode="auto">
        <a:xfrm>
          <a:off x="90714" y="210232"/>
          <a:ext cx="3561749" cy="519362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154214</xdr:colOff>
      <xdr:row>5</xdr:row>
      <xdr:rowOff>74161</xdr:rowOff>
    </xdr:from>
    <xdr:to>
      <xdr:col>0</xdr:col>
      <xdr:colOff>462642</xdr:colOff>
      <xdr:row>5</xdr:row>
      <xdr:rowOff>364447</xdr:rowOff>
    </xdr:to>
    <xdr:sp macro="" textlink="">
      <xdr:nvSpPr>
        <xdr:cNvPr id="5" name="Знак умножения 4">
          <a:extLst>
            <a:ext uri="{FF2B5EF4-FFF2-40B4-BE49-F238E27FC236}">
              <unk3:creationId id="{00000000-0008-0000-0000-000005000000}"/>
            </a:ext>
          </a:extLst>
        </xdr:cNvPr>
        <xdr:cNvSpPr/>
      </xdr:nvSpPr>
      <xdr:spPr>
        <a:xfrm>
          <a:off x="154214" y="2242232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243114</xdr:colOff>
      <xdr:row>3</xdr:row>
      <xdr:rowOff>407990</xdr:rowOff>
    </xdr:from>
    <xdr:to>
      <xdr:col>0</xdr:col>
      <xdr:colOff>551542</xdr:colOff>
      <xdr:row>4</xdr:row>
      <xdr:rowOff>199347</xdr:rowOff>
    </xdr:to>
    <xdr:sp macro="" textlink="">
      <xdr:nvSpPr>
        <xdr:cNvPr id="6" name="Знак умножения 5">
          <a:extLst>
            <a:ext uri="{FF2B5EF4-FFF2-40B4-BE49-F238E27FC236}">
              <unk3:creationId id="{00000000-0008-0000-0000-000006000000}"/>
            </a:ext>
          </a:extLst>
        </xdr:cNvPr>
        <xdr:cNvSpPr/>
      </xdr:nvSpPr>
      <xdr:spPr>
        <a:xfrm>
          <a:off x="243114" y="1623561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586014</xdr:colOff>
      <xdr:row>5</xdr:row>
      <xdr:rowOff>61462</xdr:rowOff>
    </xdr:from>
    <xdr:to>
      <xdr:col>0</xdr:col>
      <xdr:colOff>894442</xdr:colOff>
      <xdr:row>5</xdr:row>
      <xdr:rowOff>351748</xdr:rowOff>
    </xdr:to>
    <xdr:sp macro="" textlink="">
      <xdr:nvSpPr>
        <xdr:cNvPr id="7" name="Знак умножения 6">
          <a:extLst>
            <a:ext uri="{FF2B5EF4-FFF2-40B4-BE49-F238E27FC236}">
              <unk3:creationId id="{00000000-0008-0000-0000-000007000000}"/>
            </a:ext>
          </a:extLst>
        </xdr:cNvPr>
        <xdr:cNvSpPr/>
      </xdr:nvSpPr>
      <xdr:spPr>
        <a:xfrm>
          <a:off x="586014" y="2229533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511629</xdr:colOff>
      <xdr:row>7</xdr:row>
      <xdr:rowOff>77791</xdr:rowOff>
    </xdr:from>
    <xdr:to>
      <xdr:col>0</xdr:col>
      <xdr:colOff>820057</xdr:colOff>
      <xdr:row>7</xdr:row>
      <xdr:rowOff>368077</xdr:rowOff>
    </xdr:to>
    <xdr:sp macro="" textlink="">
      <xdr:nvSpPr>
        <xdr:cNvPr id="8" name="Знак умножения 7">
          <a:extLst>
            <a:ext uri="{FF2B5EF4-FFF2-40B4-BE49-F238E27FC236}">
              <unk3:creationId id="{00000000-0008-0000-0000-000008000000}"/>
            </a:ext>
          </a:extLst>
        </xdr:cNvPr>
        <xdr:cNvSpPr/>
      </xdr:nvSpPr>
      <xdr:spPr>
        <a:xfrm>
          <a:off x="511629" y="3189291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2732315</xdr:colOff>
      <xdr:row>3</xdr:row>
      <xdr:rowOff>366263</xdr:rowOff>
    </xdr:from>
    <xdr:to>
      <xdr:col>0</xdr:col>
      <xdr:colOff>3040743</xdr:colOff>
      <xdr:row>4</xdr:row>
      <xdr:rowOff>157620</xdr:rowOff>
    </xdr:to>
    <xdr:sp macro="" textlink="">
      <xdr:nvSpPr>
        <xdr:cNvPr id="9" name="Знак умножения 8">
          <a:extLst>
            <a:ext uri="{FF2B5EF4-FFF2-40B4-BE49-F238E27FC236}">
              <unk3:creationId id="{00000000-0008-0000-0000-000009000000}"/>
            </a:ext>
          </a:extLst>
        </xdr:cNvPr>
        <xdr:cNvSpPr/>
      </xdr:nvSpPr>
      <xdr:spPr>
        <a:xfrm>
          <a:off x="2732315" y="1581834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2757715</xdr:colOff>
      <xdr:row>9</xdr:row>
      <xdr:rowOff>110448</xdr:rowOff>
    </xdr:from>
    <xdr:to>
      <xdr:col>0</xdr:col>
      <xdr:colOff>3066143</xdr:colOff>
      <xdr:row>9</xdr:row>
      <xdr:rowOff>400734</xdr:rowOff>
    </xdr:to>
    <xdr:sp macro="" textlink="">
      <xdr:nvSpPr>
        <xdr:cNvPr id="10" name="Знак умножения 9">
          <a:extLst>
            <a:ext uri="{FF2B5EF4-FFF2-40B4-BE49-F238E27FC236}">
              <unk3:creationId id="{00000000-0008-0000-0000-00000A000000}"/>
            </a:ext>
          </a:extLst>
        </xdr:cNvPr>
        <xdr:cNvSpPr/>
      </xdr:nvSpPr>
      <xdr:spPr>
        <a:xfrm>
          <a:off x="2757715" y="4165377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3165929</xdr:colOff>
      <xdr:row>3</xdr:row>
      <xdr:rowOff>409806</xdr:rowOff>
    </xdr:from>
    <xdr:to>
      <xdr:col>0</xdr:col>
      <xdr:colOff>3474357</xdr:colOff>
      <xdr:row>4</xdr:row>
      <xdr:rowOff>201163</xdr:rowOff>
    </xdr:to>
    <xdr:sp macro="" textlink="">
      <xdr:nvSpPr>
        <xdr:cNvPr id="11" name="Знак умножения 10">
          <a:extLst>
            <a:ext uri="{FF2B5EF4-FFF2-40B4-BE49-F238E27FC236}">
              <unk3:creationId id="{00000000-0008-0000-0000-00000B000000}"/>
            </a:ext>
          </a:extLst>
        </xdr:cNvPr>
        <xdr:cNvSpPr/>
      </xdr:nvSpPr>
      <xdr:spPr>
        <a:xfrm>
          <a:off x="3165929" y="1625377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a="http://schemas.openxmlformats.org/drawingml/2006/main" xmlns:unk3="http://schemas.microsoft.com/office/drawing/2014/main" xmlns:c="http://schemas.openxmlformats.org/drawingml/2006/chart" xmlns:r="http://schemas.openxmlformats.org/officeDocument/2006/relationships" xmlns:xdr="http://schemas.openxmlformats.org/drawingml/2006/spreadsheetDrawing" xmlns:a14="http://schemas.microsoft.com/office/drawing/2010/main">
  <xdr:twoCellAnchor>
    <xdr:from>
      <xdr:col>7</xdr:col>
      <xdr:colOff>13606</xdr:colOff>
      <xdr:row>5</xdr:row>
      <xdr:rowOff>11792</xdr:rowOff>
    </xdr:from>
    <xdr:to>
      <xdr:col>14</xdr:col>
      <xdr:colOff>172356</xdr:colOff>
      <xdr:row>12</xdr:row>
      <xdr:rowOff>417284</xdr:rowOff>
    </xdr:to>
    <xdr:graphicFrame macro="">
      <xdr:nvGraphicFramePr>
        <xdr:cNvPr id="3" name="Диаграмма 2">
          <a:extLst>
            <a:ext uri="{FF2B5EF4-FFF2-40B4-BE49-F238E27FC236}">
              <unk3:creationId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oneCellAnchor editAs="oneCell">
    <xdr:from>
      <xdr:col>0</xdr:col>
      <xdr:colOff>54428</xdr:colOff>
      <xdr:row>0</xdr:row>
      <xdr:rowOff>172357</xdr:rowOff>
    </xdr:from>
    <xdr:to>
      <xdr:col>0</xdr:col>
      <xdr:colOff>359.6138582677165</xdr:colOff>
      <xdr:row>13</xdr:row>
      <xdr:rowOff>0</xdr:rowOff>
    </xdr:to>
    <xdr:ext/>
    <xdr:pic>
      <xdr:nvPicPr>
        <xdr:cNvPr descr="http://vmede.org/sait/content/Anatomija_stomat_kolesnikov_2010/1_files/mb4_014.png" id="5" name="Рисунок 4">
          <a:extLst>
            <a:ext uri="{FF2B5EF4-FFF2-40B4-BE49-F238E27FC236}">
              <unk3:creationId id="{00000000-0008-0000-0100-000005000000}"/>
            </a:ext>
          </a:extLst>
        </xdr:cNvPr>
        <xdr:cNvPicPr>
          <a:picLocks noChangeAspect="1" noChangeArrowheads="1"/>
        </xdr:cNvPicPr>
      </xdr:nvPicPr>
      <xdr:blipFill rotWithShape="1">
        <a:blip r:embed="rId2">
          <a:extLst>
            <a:ext uri="{28A0092B-C50C-407E-A947-70E740481C1C}">
              <a14:useLocalDpi val="0"/>
            </a:ext>
          </a:extLst>
        </a:blip>
        <a:srcRect l="55755" t="1075"/>
        <a:stretch/>
      </xdr:blipFill>
      <xdr:spPr bwMode="auto">
        <a:xfrm>
          <a:off x="54428" y="172357"/>
          <a:ext cx="3424234" cy="551542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308428</xdr:colOff>
      <xdr:row>4</xdr:row>
      <xdr:rowOff>117928</xdr:rowOff>
    </xdr:from>
    <xdr:to>
      <xdr:col>0</xdr:col>
      <xdr:colOff>616856</xdr:colOff>
      <xdr:row>4</xdr:row>
      <xdr:rowOff>408214</xdr:rowOff>
    </xdr:to>
    <xdr:sp macro="" textlink="">
      <xdr:nvSpPr>
        <xdr:cNvPr id="2" name="Знак умножения 1">
          <a:extLst>
            <a:ext uri="{FF2B5EF4-FFF2-40B4-BE49-F238E27FC236}">
              <unk3:creationId id="{00000000-0008-0000-0100-000002000000}"/>
            </a:ext>
          </a:extLst>
        </xdr:cNvPr>
        <xdr:cNvSpPr/>
      </xdr:nvSpPr>
      <xdr:spPr>
        <a:xfrm>
          <a:off x="308428" y="1732642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252185</xdr:colOff>
      <xdr:row>5</xdr:row>
      <xdr:rowOff>70757</xdr:rowOff>
    </xdr:from>
    <xdr:to>
      <xdr:col>0</xdr:col>
      <xdr:colOff>560613</xdr:colOff>
      <xdr:row>5</xdr:row>
      <xdr:rowOff>361043</xdr:rowOff>
    </xdr:to>
    <xdr:sp macro="" textlink="">
      <xdr:nvSpPr>
        <xdr:cNvPr id="6" name="Знак умножения 5">
          <a:extLst>
            <a:ext uri="{FF2B5EF4-FFF2-40B4-BE49-F238E27FC236}">
              <unk3:creationId id="{00000000-0008-0000-0100-000006000000}"/>
            </a:ext>
          </a:extLst>
        </xdr:cNvPr>
        <xdr:cNvSpPr/>
      </xdr:nvSpPr>
      <xdr:spPr>
        <a:xfrm>
          <a:off x="252185" y="2229757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361043</xdr:colOff>
      <xdr:row>3</xdr:row>
      <xdr:rowOff>333828</xdr:rowOff>
    </xdr:from>
    <xdr:to>
      <xdr:col>0</xdr:col>
      <xdr:colOff>669471</xdr:colOff>
      <xdr:row>4</xdr:row>
      <xdr:rowOff>125186</xdr:rowOff>
    </xdr:to>
    <xdr:sp macro="" textlink="">
      <xdr:nvSpPr>
        <xdr:cNvPr id="7" name="Знак умножения 6">
          <a:extLst>
            <a:ext uri="{FF2B5EF4-FFF2-40B4-BE49-F238E27FC236}">
              <unk3:creationId id="{00000000-0008-0000-0100-000007000000}"/>
            </a:ext>
          </a:extLst>
        </xdr:cNvPr>
        <xdr:cNvSpPr/>
      </xdr:nvSpPr>
      <xdr:spPr>
        <a:xfrm>
          <a:off x="361043" y="1449614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662214</xdr:colOff>
      <xdr:row>5</xdr:row>
      <xdr:rowOff>99784</xdr:rowOff>
    </xdr:from>
    <xdr:to>
      <xdr:col>0</xdr:col>
      <xdr:colOff>970642</xdr:colOff>
      <xdr:row>5</xdr:row>
      <xdr:rowOff>390070</xdr:rowOff>
    </xdr:to>
    <xdr:sp macro="" textlink="">
      <xdr:nvSpPr>
        <xdr:cNvPr id="8" name="Знак умножения 7">
          <a:extLst>
            <a:ext uri="{FF2B5EF4-FFF2-40B4-BE49-F238E27FC236}">
              <unk3:creationId id="{00000000-0008-0000-0100-000008000000}"/>
            </a:ext>
          </a:extLst>
        </xdr:cNvPr>
        <xdr:cNvSpPr/>
      </xdr:nvSpPr>
      <xdr:spPr>
        <a:xfrm>
          <a:off x="662214" y="2258784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587828</xdr:colOff>
      <xdr:row>7</xdr:row>
      <xdr:rowOff>261255</xdr:rowOff>
    </xdr:from>
    <xdr:to>
      <xdr:col>0</xdr:col>
      <xdr:colOff>896256</xdr:colOff>
      <xdr:row>8</xdr:row>
      <xdr:rowOff>179612</xdr:rowOff>
    </xdr:to>
    <xdr:sp macro="" textlink="">
      <xdr:nvSpPr>
        <xdr:cNvPr id="11" name="Знак умножения 10">
          <a:extLst>
            <a:ext uri="{FF2B5EF4-FFF2-40B4-BE49-F238E27FC236}">
              <unk3:creationId id="{00000000-0008-0000-0100-00000B000000}"/>
            </a:ext>
          </a:extLst>
        </xdr:cNvPr>
        <xdr:cNvSpPr/>
      </xdr:nvSpPr>
      <xdr:spPr>
        <a:xfrm>
          <a:off x="587828" y="3318326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2717800</xdr:colOff>
      <xdr:row>4</xdr:row>
      <xdr:rowOff>5441</xdr:rowOff>
    </xdr:from>
    <xdr:to>
      <xdr:col>0</xdr:col>
      <xdr:colOff>3026228</xdr:colOff>
      <xdr:row>4</xdr:row>
      <xdr:rowOff>295727</xdr:rowOff>
    </xdr:to>
    <xdr:sp macro="" textlink="">
      <xdr:nvSpPr>
        <xdr:cNvPr id="12" name="Знак умножения 11">
          <a:extLst>
            <a:ext uri="{FF2B5EF4-FFF2-40B4-BE49-F238E27FC236}">
              <unk3:creationId id="{00000000-0008-0000-0100-00000C000000}"/>
            </a:ext>
          </a:extLst>
        </xdr:cNvPr>
        <xdr:cNvSpPr/>
      </xdr:nvSpPr>
      <xdr:spPr>
        <a:xfrm>
          <a:off x="2717800" y="1620155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2715986</xdr:colOff>
      <xdr:row>9</xdr:row>
      <xdr:rowOff>293912</xdr:rowOff>
    </xdr:from>
    <xdr:to>
      <xdr:col>0</xdr:col>
      <xdr:colOff>3024414</xdr:colOff>
      <xdr:row>10</xdr:row>
      <xdr:rowOff>148770</xdr:rowOff>
    </xdr:to>
    <xdr:sp macro="" textlink="">
      <xdr:nvSpPr>
        <xdr:cNvPr id="13" name="Знак умножения 12">
          <a:extLst>
            <a:ext uri="{FF2B5EF4-FFF2-40B4-BE49-F238E27FC236}">
              <unk3:creationId id="{00000000-0008-0000-0100-00000D000000}"/>
            </a:ext>
          </a:extLst>
        </xdr:cNvPr>
        <xdr:cNvSpPr/>
      </xdr:nvSpPr>
      <xdr:spPr>
        <a:xfrm>
          <a:off x="2715986" y="4267198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3184070</xdr:colOff>
      <xdr:row>4</xdr:row>
      <xdr:rowOff>90714</xdr:rowOff>
    </xdr:from>
    <xdr:to>
      <xdr:col>0</xdr:col>
      <xdr:colOff>3492498</xdr:colOff>
      <xdr:row>4</xdr:row>
      <xdr:rowOff>381000</xdr:rowOff>
    </xdr:to>
    <xdr:sp macro="" textlink="">
      <xdr:nvSpPr>
        <xdr:cNvPr id="14" name="Знак умножения 13">
          <a:extLst>
            <a:ext uri="{FF2B5EF4-FFF2-40B4-BE49-F238E27FC236}">
              <unk3:creationId id="{00000000-0008-0000-0100-00000E000000}"/>
            </a:ext>
          </a:extLst>
        </xdr:cNvPr>
        <xdr:cNvSpPr/>
      </xdr:nvSpPr>
      <xdr:spPr>
        <a:xfrm>
          <a:off x="3184070" y="1705428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3.xml><?xml version="1.0" encoding="utf-8"?>
<xdr:wsDr xmlns:a="http://schemas.openxmlformats.org/drawingml/2006/main" xmlns:unk3="http://schemas.microsoft.com/office/drawing/2014/main" xmlns:c="http://schemas.openxmlformats.org/drawingml/2006/chart" xmlns:r="http://schemas.openxmlformats.org/officeDocument/2006/relationships" xmlns:xdr="http://schemas.openxmlformats.org/drawingml/2006/spreadsheetDrawing" xmlns:a14="http://schemas.microsoft.com/office/drawing/2010/main">
  <xdr:twoCellAnchor>
    <xdr:from>
      <xdr:col>9</xdr:col>
      <xdr:colOff>23432</xdr:colOff>
      <xdr:row>14</xdr:row>
      <xdr:rowOff>346519</xdr:rowOff>
    </xdr:from>
    <xdr:to>
      <xdr:col>18</xdr:col>
      <xdr:colOff>26194</xdr:colOff>
      <xdr:row>34</xdr:row>
      <xdr:rowOff>115633</xdr:rowOff>
    </xdr:to>
    <xdr:graphicFrame macro="">
      <xdr:nvGraphicFramePr>
        <xdr:cNvPr id="2" name="Диаграмма 1">
          <a:extLst>
            <a:ext uri="{FF2B5EF4-FFF2-40B4-BE49-F238E27FC236}">
              <unk3:creationId id="{E884BA84-87B6-3F4B-AA5C-CB3775DA8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oneCellAnchor>
    <xdr:from>
      <xdr:col>0</xdr:col>
      <xdr:colOff>68942</xdr:colOff>
      <xdr:row>1</xdr:row>
      <xdr:rowOff>52388</xdr:rowOff>
    </xdr:from>
    <xdr:ext cx="4753429" cy="6923587"/>
    <xdr:pic>
      <xdr:nvPicPr>
        <xdr:cNvPr descr="http://vmede.org/sait/content/Anatomija_stomat_kolesnikov_2010/1_files/mb4_014.png" id="3" name="Рисунок 2">
          <a:extLst>
            <a:ext uri="{FF2B5EF4-FFF2-40B4-BE49-F238E27FC236}">
              <unk3:creationId id="{23A25EC4-FD49-CF44-BF31-8B17DA4C82F6}"/>
            </a:ext>
          </a:extLst>
        </xdr:cNvPr>
        <xdr:cNvPicPr>
          <a:picLocks noChangeAspect="1" noChangeArrowheads="1"/>
        </xdr:cNvPicPr>
      </xdr:nvPicPr>
      <xdr:blipFill rotWithShape="1">
        <a:blip r:embed="rId2">
          <a:extLst>
            <a:ext uri="{28A0092B-C50C-407E-A947-70E740481C1C}">
              <a14:useLocalDpi val="0"/>
            </a:ext>
          </a:extLst>
        </a:blip>
        <a:srcRect l="6278" t="271" r="48700" b="784"/>
        <a:stretch/>
      </xdr:blipFill>
      <xdr:spPr bwMode="auto">
        <a:xfrm>
          <a:off x="68942" y="255588"/>
          <a:ext cx="4753429" cy="692358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52375"/>
            </a:srgbClr>
          </a:outerShdw>
        </a:effectLst>
        <a:extLst>
          <a:ext uri="{909E8E84-426E-40DD-AFC4-6F175D3DCCD1}">
            <a14:hiddenFill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2287814</xdr:colOff>
      <xdr:row>4</xdr:row>
      <xdr:rowOff>302761</xdr:rowOff>
    </xdr:from>
    <xdr:to>
      <xdr:col>1</xdr:col>
      <xdr:colOff>2596242</xdr:colOff>
      <xdr:row>5</xdr:row>
      <xdr:rowOff>135847</xdr:rowOff>
    </xdr:to>
    <xdr:sp macro="" textlink="">
      <xdr:nvSpPr>
        <xdr:cNvPr id="4" name="Знак умножения 3">
          <a:extLst>
            <a:ext uri="{FF2B5EF4-FFF2-40B4-BE49-F238E27FC236}">
              <unk3:creationId id="{82CCE7E9-0F5A-604A-A6D2-064B700B0DC9}"/>
            </a:ext>
          </a:extLst>
        </xdr:cNvPr>
        <xdr:cNvSpPr/>
      </xdr:nvSpPr>
      <xdr:spPr>
        <a:xfrm>
          <a:off x="4396014" y="2017261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798285</xdr:colOff>
      <xdr:row>6</xdr:row>
      <xdr:rowOff>320904</xdr:rowOff>
    </xdr:from>
    <xdr:to>
      <xdr:col>0</xdr:col>
      <xdr:colOff>1106713</xdr:colOff>
      <xdr:row>7</xdr:row>
      <xdr:rowOff>166690</xdr:rowOff>
    </xdr:to>
    <xdr:sp macro="" textlink="">
      <xdr:nvSpPr>
        <xdr:cNvPr id="5" name="Знак умножения 4">
          <a:extLst>
            <a:ext uri="{FF2B5EF4-FFF2-40B4-BE49-F238E27FC236}">
              <unk3:creationId id="{14873822-68D9-EA46-B328-A6816C8DA9DB}"/>
            </a:ext>
          </a:extLst>
        </xdr:cNvPr>
        <xdr:cNvSpPr/>
      </xdr:nvSpPr>
      <xdr:spPr>
        <a:xfrm>
          <a:off x="798285" y="2987904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1848757</xdr:colOff>
      <xdr:row>4</xdr:row>
      <xdr:rowOff>420691</xdr:rowOff>
    </xdr:from>
    <xdr:to>
      <xdr:col>1</xdr:col>
      <xdr:colOff>2157185</xdr:colOff>
      <xdr:row>5</xdr:row>
      <xdr:rowOff>253777</xdr:rowOff>
    </xdr:to>
    <xdr:sp macro="" textlink="">
      <xdr:nvSpPr>
        <xdr:cNvPr id="6" name="Знак умножения 5">
          <a:extLst>
            <a:ext uri="{FF2B5EF4-FFF2-40B4-BE49-F238E27FC236}">
              <unk3:creationId id="{A6DCA37E-AB71-2747-A031-B401BDE9F7A0}"/>
            </a:ext>
          </a:extLst>
        </xdr:cNvPr>
        <xdr:cNvSpPr/>
      </xdr:nvSpPr>
      <xdr:spPr>
        <a:xfrm>
          <a:off x="3956957" y="2135191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1574800</xdr:colOff>
      <xdr:row>12</xdr:row>
      <xdr:rowOff>228600</xdr:rowOff>
    </xdr:from>
    <xdr:to>
      <xdr:col>1</xdr:col>
      <xdr:colOff>1872342</xdr:colOff>
      <xdr:row>12</xdr:row>
      <xdr:rowOff>397106</xdr:rowOff>
    </xdr:to>
    <xdr:sp macro="" textlink="">
      <xdr:nvSpPr>
        <xdr:cNvPr id="7" name="Знак умножения 6">
          <a:extLst>
            <a:ext uri="{FF2B5EF4-FFF2-40B4-BE49-F238E27FC236}">
              <unk3:creationId id="{34B55929-B1D5-DC4E-A04A-70C49AE9E14F}"/>
            </a:ext>
          </a:extLst>
        </xdr:cNvPr>
        <xdr:cNvSpPr/>
      </xdr:nvSpPr>
      <xdr:spPr>
        <a:xfrm>
          <a:off x="3683000" y="5740400"/>
          <a:ext cx="297542" cy="16850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348343</xdr:colOff>
      <xdr:row>5</xdr:row>
      <xdr:rowOff>83235</xdr:rowOff>
    </xdr:from>
    <xdr:to>
      <xdr:col>0</xdr:col>
      <xdr:colOff>656771</xdr:colOff>
      <xdr:row>5</xdr:row>
      <xdr:rowOff>375335</xdr:rowOff>
    </xdr:to>
    <xdr:sp macro="" textlink="">
      <xdr:nvSpPr>
        <xdr:cNvPr id="8" name="Знак умножения 7">
          <a:extLst>
            <a:ext uri="{FF2B5EF4-FFF2-40B4-BE49-F238E27FC236}">
              <unk3:creationId id="{86531A77-356A-E446-AD5A-905BC29406C6}"/>
            </a:ext>
          </a:extLst>
        </xdr:cNvPr>
        <xdr:cNvSpPr/>
      </xdr:nvSpPr>
      <xdr:spPr>
        <a:xfrm>
          <a:off x="348343" y="2254935"/>
          <a:ext cx="308428" cy="292100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243115</xdr:colOff>
      <xdr:row>7</xdr:row>
      <xdr:rowOff>23362</xdr:rowOff>
    </xdr:from>
    <xdr:to>
      <xdr:col>0</xdr:col>
      <xdr:colOff>551543</xdr:colOff>
      <xdr:row>7</xdr:row>
      <xdr:rowOff>313648</xdr:rowOff>
    </xdr:to>
    <xdr:sp macro="" textlink="">
      <xdr:nvSpPr>
        <xdr:cNvPr id="9" name="Знак умножения 8">
          <a:extLst>
            <a:ext uri="{FF2B5EF4-FFF2-40B4-BE49-F238E27FC236}">
              <unk3:creationId id="{DB05235F-A7E4-CD4B-AE90-98E1185DF04C}"/>
            </a:ext>
          </a:extLst>
        </xdr:cNvPr>
        <xdr:cNvSpPr/>
      </xdr:nvSpPr>
      <xdr:spPr>
        <a:xfrm>
          <a:off x="243115" y="3134862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738415</xdr:colOff>
      <xdr:row>9</xdr:row>
      <xdr:rowOff>388034</xdr:rowOff>
    </xdr:from>
    <xdr:to>
      <xdr:col>0</xdr:col>
      <xdr:colOff>1046843</xdr:colOff>
      <xdr:row>10</xdr:row>
      <xdr:rowOff>201162</xdr:rowOff>
    </xdr:to>
    <xdr:sp macro="" textlink="">
      <xdr:nvSpPr>
        <xdr:cNvPr id="10" name="Знак умножения 9">
          <a:extLst>
            <a:ext uri="{FF2B5EF4-FFF2-40B4-BE49-F238E27FC236}">
              <unk3:creationId id="{3F9DEF8B-5A2E-2B40-946E-1EB1AC7E0F6A}"/>
            </a:ext>
          </a:extLst>
        </xdr:cNvPr>
        <xdr:cNvSpPr/>
      </xdr:nvSpPr>
      <xdr:spPr>
        <a:xfrm>
          <a:off x="738415" y="4426634"/>
          <a:ext cx="308428" cy="295728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0</xdr:colOff>
      <xdr:row>14</xdr:row>
      <xdr:rowOff>104775</xdr:rowOff>
    </xdr:from>
    <xdr:to>
      <xdr:col>7</xdr:col>
      <xdr:colOff>865188</xdr:colOff>
      <xdr:row>25</xdr:row>
      <xdr:rowOff>38100</xdr:rowOff>
    </xdr:to>
    <xdr:graphicFrame macro="">
      <xdr:nvGraphicFramePr>
        <xdr:cNvPr id="11" name="Диаграмма 10">
          <a:extLst>
            <a:ext uri="{FF2B5EF4-FFF2-40B4-BE49-F238E27FC236}">
              <unk3:creationId id="{DC5E2E6A-15B6-E143-8BF7-EC62D36F59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drawings/drawing4.xml><?xml version="1.0" encoding="utf-8"?>
<xdr:wsDr xmlns:a="http://schemas.openxmlformats.org/drawingml/2006/main" xmlns:unk3="http://schemas.microsoft.com/office/drawing/2014/main" xmlns:c="http://schemas.openxmlformats.org/drawingml/2006/chart" xmlns:r="http://schemas.openxmlformats.org/officeDocument/2006/relationships" xmlns:xdr="http://schemas.openxmlformats.org/drawingml/2006/spreadsheetDrawing" xmlns:a14="http://schemas.microsoft.com/office/drawing/2010/main">
  <xdr:twoCellAnchor>
    <xdr:from>
      <xdr:col>15</xdr:col>
      <xdr:colOff>265225</xdr:colOff>
      <xdr:row>2</xdr:row>
      <xdr:rowOff>381679</xdr:rowOff>
    </xdr:from>
    <xdr:to>
      <xdr:col>25</xdr:col>
      <xdr:colOff>67356</xdr:colOff>
      <xdr:row>12</xdr:row>
      <xdr:rowOff>239145</xdr:rowOff>
    </xdr:to>
    <xdr:graphicFrame macro="">
      <xdr:nvGraphicFramePr>
        <xdr:cNvPr id="2" name="Диаграмма 1">
          <a:extLst>
            <a:ext uri="{FF2B5EF4-FFF2-40B4-BE49-F238E27FC236}">
              <unk3:creationId id="{F1F99241-A02D-C245-9458-D36C44B52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oneCellAnchor>
    <xdr:from>
      <xdr:col>0</xdr:col>
      <xdr:colOff>76200</xdr:colOff>
      <xdr:row>1</xdr:row>
      <xdr:rowOff>43541</xdr:rowOff>
    </xdr:from>
    <xdr:ext cx="4419600" cy="7209903"/>
    <xdr:pic>
      <xdr:nvPicPr>
        <xdr:cNvPr descr="http://vmede.org/sait/content/Anatomija_stomat_kolesnikov_2010/1_files/mb4_014.png" id="3" name="Рисунок 2">
          <a:extLst>
            <a:ext uri="{FF2B5EF4-FFF2-40B4-BE49-F238E27FC236}">
              <unk3:creationId id="{73ED78C0-98EF-D648-9461-C1373A30B16B}"/>
            </a:ext>
          </a:extLst>
        </xdr:cNvPr>
        <xdr:cNvPicPr>
          <a:picLocks noChangeAspect="1" noChangeArrowheads="1"/>
        </xdr:cNvPicPr>
      </xdr:nvPicPr>
      <xdr:blipFill rotWithShape="1">
        <a:blip r:embed="rId2">
          <a:extLst>
            <a:ext uri="{28A0092B-C50C-407E-A947-70E740481C1C}">
              <a14:useLocalDpi val="0"/>
            </a:ext>
          </a:extLst>
        </a:blip>
        <a:srcRect l="55755" t="1075"/>
        <a:stretch/>
      </xdr:blipFill>
      <xdr:spPr bwMode="auto">
        <a:xfrm>
          <a:off x="76200" y="246741"/>
          <a:ext cx="4419600" cy="7209903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  <a:extLst>
          <a:ext uri="{909E8E84-426E-40DD-AFC4-6F175D3DCCD1}">
            <a14:hiddenFill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1756228</xdr:colOff>
      <xdr:row>5</xdr:row>
      <xdr:rowOff>107042</xdr:rowOff>
    </xdr:from>
    <xdr:to>
      <xdr:col>1</xdr:col>
      <xdr:colOff>2064656</xdr:colOff>
      <xdr:row>5</xdr:row>
      <xdr:rowOff>397328</xdr:rowOff>
    </xdr:to>
    <xdr:sp macro="" textlink="">
      <xdr:nvSpPr>
        <xdr:cNvPr id="4" name="Знак умножения 3">
          <a:extLst>
            <a:ext uri="{FF2B5EF4-FFF2-40B4-BE49-F238E27FC236}">
              <unk3:creationId id="{F4A0A37D-A05A-7D40-90E3-0308E107E678}"/>
            </a:ext>
          </a:extLst>
        </xdr:cNvPr>
        <xdr:cNvSpPr/>
      </xdr:nvSpPr>
      <xdr:spPr>
        <a:xfrm>
          <a:off x="3864428" y="2139042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2211613</xdr:colOff>
      <xdr:row>5</xdr:row>
      <xdr:rowOff>16329</xdr:rowOff>
    </xdr:from>
    <xdr:to>
      <xdr:col>1</xdr:col>
      <xdr:colOff>2520041</xdr:colOff>
      <xdr:row>5</xdr:row>
      <xdr:rowOff>306615</xdr:rowOff>
    </xdr:to>
    <xdr:sp macro="" textlink="">
      <xdr:nvSpPr>
        <xdr:cNvPr id="5" name="Знак умножения 4">
          <a:extLst>
            <a:ext uri="{FF2B5EF4-FFF2-40B4-BE49-F238E27FC236}">
              <unk3:creationId id="{33649098-B7AE-FC4A-8A3E-92D91CFB7E16}"/>
            </a:ext>
          </a:extLst>
        </xdr:cNvPr>
        <xdr:cNvSpPr/>
      </xdr:nvSpPr>
      <xdr:spPr>
        <a:xfrm>
          <a:off x="4319813" y="2048329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524328</xdr:colOff>
      <xdr:row>4</xdr:row>
      <xdr:rowOff>301172</xdr:rowOff>
    </xdr:from>
    <xdr:to>
      <xdr:col>0</xdr:col>
      <xdr:colOff>832756</xdr:colOff>
      <xdr:row>5</xdr:row>
      <xdr:rowOff>48986</xdr:rowOff>
    </xdr:to>
    <xdr:sp macro="" textlink="">
      <xdr:nvSpPr>
        <xdr:cNvPr id="6" name="Знак умножения 5">
          <a:extLst>
            <a:ext uri="{FF2B5EF4-FFF2-40B4-BE49-F238E27FC236}">
              <unk3:creationId id="{B8F79F2D-E2F1-9747-90FD-E7CE090205BE}"/>
            </a:ext>
          </a:extLst>
        </xdr:cNvPr>
        <xdr:cNvSpPr/>
      </xdr:nvSpPr>
      <xdr:spPr>
        <a:xfrm>
          <a:off x="524328" y="1875972"/>
          <a:ext cx="308428" cy="205014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422728</xdr:colOff>
      <xdr:row>5</xdr:row>
      <xdr:rowOff>175984</xdr:rowOff>
    </xdr:from>
    <xdr:to>
      <xdr:col>0</xdr:col>
      <xdr:colOff>731156</xdr:colOff>
      <xdr:row>6</xdr:row>
      <xdr:rowOff>19956</xdr:rowOff>
    </xdr:to>
    <xdr:sp macro="" textlink="">
      <xdr:nvSpPr>
        <xdr:cNvPr id="7" name="Знак умножения 6">
          <a:extLst>
            <a:ext uri="{FF2B5EF4-FFF2-40B4-BE49-F238E27FC236}">
              <unk3:creationId id="{BE1ABA7C-3A85-5D48-BB29-898E8ACDCC17}"/>
            </a:ext>
          </a:extLst>
        </xdr:cNvPr>
        <xdr:cNvSpPr/>
      </xdr:nvSpPr>
      <xdr:spPr>
        <a:xfrm>
          <a:off x="422728" y="2207984"/>
          <a:ext cx="308428" cy="288472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903514</xdr:colOff>
      <xdr:row>6</xdr:row>
      <xdr:rowOff>391884</xdr:rowOff>
    </xdr:from>
    <xdr:to>
      <xdr:col>0</xdr:col>
      <xdr:colOff>1211942</xdr:colOff>
      <xdr:row>7</xdr:row>
      <xdr:rowOff>234040</xdr:rowOff>
    </xdr:to>
    <xdr:sp macro="" textlink="">
      <xdr:nvSpPr>
        <xdr:cNvPr id="8" name="Знак умножения 7">
          <a:extLst>
            <a:ext uri="{FF2B5EF4-FFF2-40B4-BE49-F238E27FC236}">
              <unk3:creationId id="{C017DB27-CD8C-CD42-81A7-D5403E1B9E7E}"/>
            </a:ext>
          </a:extLst>
        </xdr:cNvPr>
        <xdr:cNvSpPr/>
      </xdr:nvSpPr>
      <xdr:spPr>
        <a:xfrm>
          <a:off x="903514" y="2868384"/>
          <a:ext cx="308428" cy="28665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3184070</xdr:colOff>
      <xdr:row>4</xdr:row>
      <xdr:rowOff>90714</xdr:rowOff>
    </xdr:from>
    <xdr:to>
      <xdr:col>1</xdr:col>
      <xdr:colOff>3492498</xdr:colOff>
      <xdr:row>4</xdr:row>
      <xdr:rowOff>381000</xdr:rowOff>
    </xdr:to>
    <xdr:sp macro="" textlink="">
      <xdr:nvSpPr>
        <xdr:cNvPr id="9" name="Знак умножения 8">
          <a:extLst>
            <a:ext uri="{FF2B5EF4-FFF2-40B4-BE49-F238E27FC236}">
              <unk3:creationId id="{6AC82EC8-4359-974F-B63A-CB1DB41F9EB9}"/>
            </a:ext>
          </a:extLst>
        </xdr:cNvPr>
        <xdr:cNvSpPr/>
      </xdr:nvSpPr>
      <xdr:spPr>
        <a:xfrm>
          <a:off x="5152570" y="1665514"/>
          <a:ext cx="36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776514</xdr:colOff>
      <xdr:row>10</xdr:row>
      <xdr:rowOff>117927</xdr:rowOff>
    </xdr:from>
    <xdr:to>
      <xdr:col>0</xdr:col>
      <xdr:colOff>1084942</xdr:colOff>
      <xdr:row>10</xdr:row>
      <xdr:rowOff>408213</xdr:rowOff>
    </xdr:to>
    <xdr:sp macro="" textlink="">
      <xdr:nvSpPr>
        <xdr:cNvPr id="10" name="Знак умножения 9">
          <a:extLst>
            <a:ext uri="{FF2B5EF4-FFF2-40B4-BE49-F238E27FC236}">
              <unk3:creationId id="{D7D91668-05BF-2742-B1DE-B1023FCA91A9}"/>
            </a:ext>
          </a:extLst>
        </xdr:cNvPr>
        <xdr:cNvSpPr/>
      </xdr:nvSpPr>
      <xdr:spPr>
        <a:xfrm>
          <a:off x="776514" y="4270827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1474560</xdr:colOff>
      <xdr:row>13</xdr:row>
      <xdr:rowOff>110217</xdr:rowOff>
    </xdr:from>
    <xdr:to>
      <xdr:col>1</xdr:col>
      <xdr:colOff>1782988</xdr:colOff>
      <xdr:row>13</xdr:row>
      <xdr:rowOff>400503</xdr:rowOff>
    </xdr:to>
    <xdr:sp macro="" textlink="">
      <xdr:nvSpPr>
        <xdr:cNvPr id="11" name="Знак умножения 10">
          <a:extLst>
            <a:ext uri="{FF2B5EF4-FFF2-40B4-BE49-F238E27FC236}">
              <unk3:creationId id="{9F9D822F-716A-D041-80D7-44698BA18B4B}"/>
            </a:ext>
          </a:extLst>
        </xdr:cNvPr>
        <xdr:cNvSpPr/>
      </xdr:nvSpPr>
      <xdr:spPr>
        <a:xfrm>
          <a:off x="3582760" y="5634717"/>
          <a:ext cx="308428" cy="290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326571</xdr:colOff>
      <xdr:row>7</xdr:row>
      <xdr:rowOff>119740</xdr:rowOff>
    </xdr:from>
    <xdr:to>
      <xdr:col>0</xdr:col>
      <xdr:colOff>634999</xdr:colOff>
      <xdr:row>8</xdr:row>
      <xdr:rowOff>38097</xdr:rowOff>
    </xdr:to>
    <xdr:sp macro="" textlink="">
      <xdr:nvSpPr>
        <xdr:cNvPr id="12" name="Знак умножения 11">
          <a:extLst>
            <a:ext uri="{FF2B5EF4-FFF2-40B4-BE49-F238E27FC236}">
              <unk3:creationId id="{C6CDB64B-A5EA-F444-851C-78538B912BD1}"/>
            </a:ext>
          </a:extLst>
        </xdr:cNvPr>
        <xdr:cNvSpPr/>
      </xdr:nvSpPr>
      <xdr:spPr>
        <a:xfrm>
          <a:off x="326571" y="3040740"/>
          <a:ext cx="308428" cy="286657"/>
        </a:xfrm>
        <a:prstGeom prst="mathMultiply">
          <a:avLst/>
        </a:prstGeom>
        <a:solidFill>
          <a:srgbClr val="FF0000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2</xdr:col>
      <xdr:colOff>55563</xdr:colOff>
      <xdr:row>15</xdr:row>
      <xdr:rowOff>263525</xdr:rowOff>
    </xdr:from>
    <xdr:to>
      <xdr:col>8</xdr:col>
      <xdr:colOff>15875</xdr:colOff>
      <xdr:row>23</xdr:row>
      <xdr:rowOff>85725</xdr:rowOff>
    </xdr:to>
    <xdr:graphicFrame macro="">
      <xdr:nvGraphicFramePr>
        <xdr:cNvPr id="13" name="Диаграмма 12">
          <a:extLst>
            <a:ext uri="{FF2B5EF4-FFF2-40B4-BE49-F238E27FC236}">
              <unk3:creationId id="{75F93B97-8B8B-D047-8E73-5D856A12C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Tfng" typeface="Ebrima"/>
      </a:majorFont>
      <a:minorFont>
        <a:latin typeface="Calibri" panose="020F0502020204030204"/>
        <a:ea typeface=""/>
        <a:cs typeface="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Relationship Target="../drawings/drawing1.xml" Type="http://schemas.openxmlformats.org/officeDocument/2006/relationships/drawing" Id="rId2"/></Relationships>
</file>

<file path=xl/worksheets/_rels/sheet2.xml.rels><?xml version="1.0" ?><Relationships xmlns="http://schemas.openxmlformats.org/package/2006/relationships"><Relationship Id="rId1" Type="http://schemas.openxmlformats.org/officeDocument/2006/relationships/printerSettings" Target="../printerSettings/printerSettings2.bin"/><Relationship Target="../drawings/drawing2.xml" Type="http://schemas.openxmlformats.org/officeDocument/2006/relationships/drawing" Id="rId2"/></Relationships>
</file>

<file path=xl/worksheets/_rels/sheet3.xml.rels><?xml version="1.0" ?><Relationships xmlns="http://schemas.openxmlformats.org/package/2006/relationships"><Relationship Id="rId1" Type="http://schemas.openxmlformats.org/officeDocument/2006/relationships/printerSettings" Target="../printerSettings/printerSettings3.bin"/><Relationship Target="../drawings/drawing3.xml" Type="http://schemas.openxmlformats.org/officeDocument/2006/relationships/drawing" Id="rId2"/></Relationships>
</file>

<file path=xl/worksheets/_rels/sheet4.xml.rels><?xml version="1.0" ?><Relationships xmlns="http://schemas.openxmlformats.org/package/2006/relationships"><Relationship Id="rId1" Type="http://schemas.openxmlformats.org/officeDocument/2006/relationships/printerSettings" Target="../printerSettings/printerSettings4.bin"/><Relationship Target="../drawings/drawing4.xml" Type="http://schemas.openxmlformats.org/officeDocument/2006/relationships/drawing" Id="rId2"/></Relationships>
</file>

<file path=xl/worksheets/sheet1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00000000-0001-0000-0000-000000000000}">
  <s:dimension ref="B1:V15"/>
  <s:sheetViews>
    <s:sheetView tabSelected="0" zoomScale="70" zoomScaleNormal="70" workbookViewId="0">
      <s:selection activeCell="C13" sqref="C13"/>
    </s:sheetView>
  </s:sheetViews>
  <s:sheetFormatPr x14ac:dyDescent="0.2" baseColWidth="10" defaultColWidth="8.832" defaultRowHeight="15"/>
  <s:cols>
    <s:col min="1" max="1" width="52.832" style="31" customWidth="1"/>
    <s:col min="2" max="2" width="21.164" style="31" customWidth="1"/>
    <s:col min="3" max="4" width="11.832" style="31" customWidth="1"/>
    <s:col min="5" max="6" width="11.5" style="31" customWidth="1"/>
    <s:col min="7" max="7" width="10.164" style="31" customWidth="1"/>
    <s:col min="8" max="8" width="16.164" style="31" customWidth="1"/>
    <s:col min="9" max="9" width="12.5" style="31" customWidth="1"/>
    <s:col min="10" max="16" width="8.832" style="31"/>
    <s:col min="17" max="17" width="18.832" style="31" customWidth="1"/>
    <s:col min="18" max="18" width="8.832" style="31"/>
    <s:col min="19" max="19" width="13.5" style="31" customWidth="1"/>
    <s:col min="20" max="16384" width="8.832" style="31"/>
  </s:cols>
  <s:sheetData>
    <s:row x14ac:dyDescent="0.25" r="1" spans="2:22" ht="16" thickBot="1"/>
    <s:row x14ac:dyDescent="0.25" r="2" spans="2:22" ht="41.5" customHeight="1" thickBot="1">
      <s:c r="B2" s="130" t="s">
        <s:v>15</s:v>
      </s:c>
      <s:c r="C2" s="131"/>
      <s:c r="D2" s="131"/>
      <s:c r="E2" s="131"/>
      <s:c r="F2" s="131"/>
      <s:c r="G2" s="131"/>
      <s:c r="H2" s="131"/>
      <s:c r="I2" s="132"/>
      <s:c r="J2" s="32"/>
      <s:c r="K2" s="32"/>
      <s:c r="L2" s="32"/>
      <s:c r="M2" s="32"/>
      <s:c r="N2" s="32"/>
    </s:row>
    <s:row x14ac:dyDescent="0.25" r="3" spans="2:22" ht="39.5" customHeight="1" thickBot="1">
      <s:c r="B3" s="33" t="s">
        <s:v>11</s:v>
      </s:c>
      <s:c r="C3" s="34">
        <s:v>44024</s:v>
      </s:c>
      <s:c r="D3" s="34"/>
      <s:c r="E3" s="34"/>
      <s:c r="F3" s="35"/>
      <s:c r="G3" s="35"/>
      <s:c r="H3" s="36" t="s">
        <s:v>17</s:v>
      </s:c>
      <s:c r="I3" s="37">
        <s:v>160</s:v>
      </s:c>
      <s:c r="J3" s="32"/>
      <s:c r="K3" s="32"/>
      <s:c r="L3" s="32"/>
      <s:c r="M3" s="32"/>
      <s:c r="N3" s="38"/>
      <s:c r="Q3" s="65"/>
      <s:c r="R3" s="66">
        <s:v>1</s:v>
      </s:c>
      <s:c r="S3" s="66">
        <s:v>2</s:v>
      </s:c>
      <s:c r="T3" s="66">
        <s:v>3</s:v>
      </s:c>
      <s:c r="U3" s="66">
        <s:v>4</s:v>
      </s:c>
      <s:c r="V3" s="66">
        <s:v>5</s:v>
      </s:c>
    </s:row>
    <s:row x14ac:dyDescent="0.2" r="4" spans="2:22" ht="39.5" customHeight="1">
      <s:c r="B4" s="39" t="s">
        <s:v>4</s:v>
      </s:c>
      <s:c r="C4" s="40">
        <s:v>12</s:v>
      </s:c>
      <s:c r="D4" s="40"/>
      <s:c r="E4" s="40"/>
      <s:c r="F4" s="41"/>
      <s:c r="G4" s="40"/>
      <s:c r="H4" s="42" t="s">
        <s:v>13</s:v>
      </s:c>
      <s:c r="I4" s="43">
        <s:v>60</s:v>
      </s:c>
      <s:c r="J4" s="43"/>
      <s:c r="K4" s="43"/>
      <s:c r="L4" s="43"/>
      <s:c r="M4" s="43"/>
      <s:c r="N4" s="44"/>
      <s:c r="Q4" s="67" t="s">
        <s:v>18</s:v>
      </s:c>
      <s:c r="R4" s="67"/>
      <s:c r="S4" s="69"/>
      <s:c r="T4" s="69"/>
      <s:c r="U4" s="69"/>
      <s:c r="V4" s="69"/>
    </s:row>
    <s:row x14ac:dyDescent="0.25" r="5" spans="2:22" ht="36" customHeight="1" thickBot="1">
      <s:c r="B5" s="39" t="s">
        <s:v>5</s:v>
      </s:c>
      <s:c r="C5" s="45">
        <s:v>15</s:v>
      </s:c>
      <s:c r="D5" s="45"/>
      <s:c r="E5" s="45"/>
      <s:c r="F5" s="46"/>
      <s:c r="G5" s="45"/>
      <s:c r="H5" s="47" t="s">
        <s:v>2</s:v>
      </s:c>
      <s:c r="I5" s="48">
        <s:f>SQRT((I3*I4)/3600)</s:f>
        <s:v>1.6329931618554521</s:v>
      </s:c>
      <s:c r="J5" s="32"/>
      <s:c r="K5" s="49"/>
      <s:c r="L5" s="133"/>
      <s:c r="M5" s="133"/>
      <s:c r="N5" s="50"/>
      <s:c r="O5" s="51"/>
      <s:c r="P5" s="51"/>
      <s:c r="Q5" s="68" t="s">
        <s:v>19</s:v>
      </s:c>
      <s:c r="R5" s="67"/>
      <s:c r="S5" s="69"/>
      <s:c r="T5" s="69"/>
      <s:c r="U5" s="69"/>
      <s:c r="V5" s="69"/>
    </s:row>
    <s:row x14ac:dyDescent="0.2" r="6" spans="2:22" ht="39" customHeight="1">
      <s:c r="B6" s="39" t="s">
        <s:v>6</s:v>
      </s:c>
      <s:c r="C6" s="45">
        <s:v>14</s:v>
      </s:c>
      <s:c r="D6" s="45"/>
      <s:c r="E6" s="45"/>
      <s:c r="F6" s="46"/>
      <s:c r="G6" s="45"/>
      <s:c r="H6" s="52"/>
      <s:c r="I6" s="52"/>
      <s:c r="J6" s="53"/>
      <s:c r="K6" s="53"/>
      <s:c r="L6" s="134"/>
      <s:c r="M6" s="134"/>
      <s:c r="N6" s="53"/>
      <s:c r="O6" s="54"/>
      <s:c r="Q6" s="67" t="s">
        <s:v>20</s:v>
      </s:c>
      <s:c r="R6" s="67"/>
      <s:c r="S6" s="69"/>
      <s:c r="T6" s="69"/>
      <s:c r="U6" s="69"/>
      <s:c r="V6" s="69"/>
    </s:row>
    <s:row x14ac:dyDescent="0.2" r="7" spans="2:22" ht="35" customHeight="1">
      <s:c r="B7" s="39" t="s">
        <s:v>7</s:v>
      </s:c>
      <s:c r="C7" s="45">
        <s:v>10</s:v>
      </s:c>
      <s:c r="D7" s="45"/>
      <s:c r="E7" s="45"/>
      <s:c r="F7" s="46"/>
      <s:c r="G7" s="45"/>
      <s:c r="H7" s="52"/>
      <s:c r="I7" s="52"/>
      <s:c r="J7" s="53"/>
      <s:c r="K7" s="53"/>
      <s:c r="L7" s="53"/>
      <s:c r="M7" s="53"/>
      <s:c r="N7" s="53"/>
      <s:c r="O7" s="54"/>
      <s:c r="Q7" s="67" t="s">
        <s:v>21</s:v>
      </s:c>
      <s:c r="R7" s="67"/>
      <s:c r="S7" s="69"/>
      <s:c r="T7" s="69"/>
      <s:c r="U7" s="69"/>
      <s:c r="V7" s="69"/>
    </s:row>
    <s:row x14ac:dyDescent="0.2" r="8" spans="2:22" ht="35.5" customHeight="1">
      <s:c r="B8" s="39" t="s">
        <s:v>8</s:v>
      </s:c>
      <s:c r="C8" s="45">
        <s:v>15</s:v>
      </s:c>
      <s:c r="D8" s="45"/>
      <s:c r="E8" s="45"/>
      <s:c r="F8" s="46"/>
      <s:c r="G8" s="45"/>
      <s:c r="H8" s="52"/>
      <s:c r="I8" s="52"/>
      <s:c r="J8" s="53"/>
      <s:c r="K8" s="53"/>
      <s:c r="L8" s="55">
        <s:f>SUM(C4:C10)/14</s:f>
        <s:v>6.5</s:v>
      </s:c>
      <s:c r="M8" s="55">
        <s:f>L8*I5*1.3</s:f>
        <s:v>13.798792217678569</s:v>
      </s:c>
      <s:c r="N8" s="53"/>
      <s:c r="O8" s="54"/>
      <s:c r="Q8" s="67" t="s">
        <s:v>22</s:v>
      </s:c>
      <s:c r="R8" s="67">
        <s:f>SUM(R4:R7)</s:f>
        <s:v>0</s:v>
      </s:c>
      <s:c r="S8" s="67">
        <s:f>SUM(S4:S7)</s:f>
        <s:v>0</s:v>
      </s:c>
      <s:c r="T8" s="67">
        <s:f>SUM(T4:T7)</s:f>
        <s:v>0</s:v>
      </s:c>
      <s:c r="U8" s="67">
        <s:f>SUM(U4:U7)</s:f>
        <s:v>0</s:v>
      </s:c>
      <s:c r="V8" s="67">
        <s:f>SUM(V4:V7)</s:f>
        <s:v>0</s:v>
      </s:c>
    </s:row>
    <s:row x14ac:dyDescent="0.2" r="9" spans="2:22" ht="38.5" customHeight="1">
      <s:c r="B9" s="39" t="s">
        <s:v>9</s:v>
      </s:c>
      <s:c r="C9" s="45">
        <s:v>15</s:v>
      </s:c>
      <s:c r="D9" s="45"/>
      <s:c r="E9" s="45"/>
      <s:c r="F9" s="46"/>
      <s:c r="G9" s="45"/>
      <s:c r="H9" s="52"/>
      <s:c r="I9" s="52"/>
      <s:c r="J9" s="53"/>
      <s:c r="K9" s="53"/>
      <s:c r="L9" s="55">
        <s:f>SUM(D4:D10)/14</s:f>
        <s:v>0</s:v>
      </s:c>
      <s:c r="M9" s="55">
        <s:f>L9*I5*1.3</s:f>
        <s:v>0</s:v>
      </s:c>
      <s:c r="N9" s="53"/>
      <s:c r="O9" s="54"/>
    </s:row>
    <s:row x14ac:dyDescent="0.25" r="10" spans="2:22" ht="38" customHeight="1" thickBot="1">
      <s:c r="B10" s="56" t="s">
        <s:v>14</s:v>
      </s:c>
      <s:c r="C10" s="57">
        <s:v>10</s:v>
      </s:c>
      <s:c r="D10" s="57"/>
      <s:c r="E10" s="57"/>
      <s:c r="F10" s="58"/>
      <s:c r="G10" s="57"/>
      <s:c r="H10" s="52"/>
      <s:c r="I10" s="52"/>
      <s:c r="J10" s="53"/>
      <s:c r="K10" s="53"/>
      <s:c r="L10" s="55">
        <s:f>E11/14</s:f>
        <s:v>0</s:v>
      </s:c>
      <s:c r="M10" s="55">
        <s:f>L10*I5*1.3</s:f>
        <s:v>0</s:v>
      </s:c>
      <s:c r="N10" s="53"/>
      <s:c r="O10" s="54"/>
    </s:row>
    <s:row x14ac:dyDescent="0.25" r="11" spans="2:22" ht="32.5" customHeight="1" thickBot="1">
      <s:c r="B11" s="59" t="s">
        <s:v>1</s:v>
      </s:c>
      <s:c r="C11" s="60">
        <s:f>SUM(C4:C10)</s:f>
        <s:v>91</s:v>
      </s:c>
      <s:c r="D11" s="60">
        <s:f>SUM(D4:D10)</s:f>
        <s:v>0</s:v>
      </s:c>
      <s:c r="E11" s="60">
        <s:f>SUM(E4:E10)</s:f>
        <s:v>0</s:v>
      </s:c>
      <s:c r="F11" s="60">
        <s:f>SUM(F4:F10)</s:f>
        <s:v>0</s:v>
      </s:c>
      <s:c r="G11" s="60">
        <s:f>SUM(G4:G10)</s:f>
        <s:v>0</s:v>
      </s:c>
      <s:c r="H11" s="52"/>
      <s:c r="I11" s="52"/>
      <s:c r="J11" s="53"/>
      <s:c r="K11" s="53"/>
      <s:c r="L11" s="55">
        <s:f>F11/14</s:f>
        <s:v>0</s:v>
      </s:c>
      <s:c r="M11" s="55">
        <s:f>L11*I5*1.3</s:f>
        <s:v>0</s:v>
      </s:c>
      <s:c r="N11" s="53"/>
      <s:c r="O11" s="54"/>
    </s:row>
    <s:row x14ac:dyDescent="0.25" r="12" spans="2:22" ht="37" customHeight="1" thickBot="1">
      <s:c r="B12" s="61" t="s">
        <s:v>10</s:v>
      </s:c>
      <s:c r="C12" s="62">
        <s:f>(M8*100)/I4</s:f>
        <s:v>22.997987029464284</s:v>
      </s:c>
      <s:c r="D12" s="62" t="e">
        <s:f>(M9*100)/J4</s:f>
        <s:v>#DIV/0!</s:v>
      </s:c>
      <s:c r="E12" s="62" t="e">
        <s:f>(M10*100)/K4</s:f>
        <s:v>#DIV/0!</s:v>
      </s:c>
      <s:c r="F12" s="62" t="e">
        <s:f>(M11*100)/L4</s:f>
        <s:v>#DIV/0!</s:v>
      </s:c>
      <s:c r="G12" s="62" t="e">
        <s:f>(M12*100)/M4</s:f>
        <s:v>#DIV/0!</s:v>
      </s:c>
      <s:c r="H12" s="52"/>
      <s:c r="I12" s="52"/>
      <s:c r="J12" s="53"/>
      <s:c r="K12" s="53"/>
      <s:c r="L12" s="55">
        <s:f>G11/14</s:f>
        <s:v>0</s:v>
      </s:c>
      <s:c r="M12" s="55">
        <s:f>L12*I5*1.3</s:f>
        <s:v>0</s:v>
      </s:c>
      <s:c r="N12" s="53"/>
      <s:c r="O12" s="54"/>
    </s:row>
    <s:row x14ac:dyDescent="0.25" r="13" spans="2:22" ht="34.75" customHeight="1" thickBot="1">
      <s:c r="B13" s="70" t="s">
        <s:v>16</s:v>
      </s:c>
      <s:c r="C13" s="63">
        <s:f>(I4-(I4/100*C12))*0.45</s:f>
        <s:v>20.790543502044645</s:v>
      </s:c>
      <s:c r="D13" s="63" t="e">
        <s:f>(J4-(J4/100*D12))*0.45</s:f>
        <s:v>#DIV/0!</s:v>
      </s:c>
      <s:c r="E13" s="63" t="e">
        <s:f>(K4-(K4/100*E12))*0.45</s:f>
        <s:v>#DIV/0!</s:v>
      </s:c>
      <s:c r="F13" s="63" t="e">
        <s:f>(L4-(L4/100*F12))*0.45</s:f>
        <s:v>#DIV/0!</s:v>
      </s:c>
      <s:c r="G13" s="63" t="e">
        <s:f>(M4-(M4/100*G12))*0.45</s:f>
        <s:v>#DIV/0!</s:v>
      </s:c>
      <s:c r="H13" s="64"/>
      <s:c r="I13" s="64"/>
      <s:c r="J13" s="64"/>
      <s:c r="K13" s="64"/>
      <s:c r="L13" s="64"/>
      <s:c r="M13" s="64"/>
      <s:c r="N13" s="64"/>
    </s:row>
    <s:row x14ac:dyDescent="0.2" r="14" spans="2:22">
      <s:c r="B14" s="64"/>
      <s:c r="C14" s="64"/>
      <s:c r="D14" s="64"/>
      <s:c r="E14" s="64"/>
      <s:c r="F14" s="64"/>
      <s:c r="G14" s="64"/>
      <s:c r="H14" s="64"/>
      <s:c r="I14" s="64"/>
      <s:c r="J14" s="64"/>
      <s:c r="K14" s="64"/>
      <s:c r="L14" s="64"/>
      <s:c r="M14" s="64"/>
      <s:c r="N14" s="64"/>
    </s:row>
    <s:row x14ac:dyDescent="0.2" r="15" spans="2:22">
      <s:c r="B15" s="64"/>
      <s:c r="C15" s="64"/>
      <s:c r="D15" s="64"/>
      <s:c r="E15" s="64"/>
      <s:c r="F15" s="64"/>
      <s:c r="G15" s="64"/>
      <s:c r="H15" s="64"/>
      <s:c r="I15" s="64"/>
      <s:c r="J15" s="64"/>
      <s:c r="K15" s="64"/>
      <s:c r="L15" s="64"/>
      <s:c r="M15" s="64"/>
      <s:c r="N15" s="64"/>
    </s:row>
  </s:sheetData>
  <s:mergeCells count="3">
    <s:mergeCell ref="B2:I2"/>
    <s:mergeCell ref="L5:M5"/>
    <s:mergeCell ref="L6:M6"/>
  </s:mergeCells>
  <s:pageMargins left="0.7" right="0.7" top="0.75" bottom="0.75" header="0.3" footer="0.3"/>
  <s:pageSetup paperSize="9" orientation="portrait" horizontalDpi="180" verticalDpi="180" r:id="rId1"/>
  <s:drawing r:id="rId2"/>
</s:worksheet>
</file>

<file path=xl/worksheets/sheet2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00000000-0001-0000-0100-000000000000}">
  <s:dimension ref="B1:Q16"/>
  <s:sheetViews>
    <s:sheetView tabSelected="0" zoomScale="80" zoomScaleNormal="80" workbookViewId="0">
      <s:selection activeCell="F6" sqref="F6"/>
    </s:sheetView>
  </s:sheetViews>
  <s:sheetFormatPr x14ac:dyDescent="0.2" baseColWidth="10" defaultColWidth="8.832" defaultRowHeight="15"/>
  <s:cols>
    <s:col min="1" max="1" width="50" customWidth="1"/>
    <s:col min="2" max="2" width="20.832" customWidth="1"/>
    <s:col min="3" max="7" width="12.164" customWidth="1"/>
    <s:col min="8" max="8" width="12.5" customWidth="1"/>
    <s:col min="10" max="11" width="8.832" customWidth="1"/>
    <s:col min="13" max="13" width="12" customWidth="1"/>
    <s:col min="14" max="14" width="11.164" customWidth="1"/>
  </s:cols>
  <s:sheetData>
    <s:row x14ac:dyDescent="0.25" r="1" spans="2:17" ht="16" thickBot="1"/>
    <s:row x14ac:dyDescent="0.25" r="2" spans="2:17" ht="41" customHeight="1" thickBot="1">
      <s:c r="B2" s="137" t="s">
        <s:v>12</s:v>
      </s:c>
      <s:c r="C2" s="138"/>
      <s:c r="D2" s="138"/>
      <s:c r="E2" s="138"/>
      <s:c r="F2" s="138"/>
      <s:c r="G2" s="138"/>
      <s:c r="H2" s="138"/>
      <s:c r="I2" s="139"/>
      <s:c r="J2" s="2"/>
      <s:c r="K2" s="2"/>
      <s:c r="L2" s="2"/>
      <s:c r="M2" s="2"/>
      <s:c r="N2" s="2"/>
    </s:row>
    <s:row x14ac:dyDescent="0.25" r="3" spans="2:17" ht="32" customHeight="1" thickBot="1">
      <s:c r="B3" s="22" t="s">
        <s:v>11</s:v>
      </s:c>
      <s:c r="C3" s="23"/>
      <s:c r="D3" s="23"/>
      <s:c r="E3" s="27"/>
      <s:c r="F3" s="27"/>
      <s:c r="G3" s="23"/>
      <s:c r="H3" s="6" t="s">
        <s:v>3</s:v>
      </s:c>
      <s:c r="I3" s="7">
        <s:v>190</s:v>
      </s:c>
      <s:c r="J3" s="2"/>
      <s:c r="K3" s="2"/>
      <s:c r="L3" s="2"/>
      <s:c r="M3" s="2"/>
      <s:c r="N3" s="3"/>
    </s:row>
    <s:row x14ac:dyDescent="0.2" r="4" spans="2:17" ht="39" customHeight="1">
      <s:c r="B4" s="8" t="s">
        <s:v>4</s:v>
      </s:c>
      <s:c r="C4" s="9">
        <s:v>4</s:v>
      </s:c>
      <s:c r="D4" s="9"/>
      <s:c r="E4" s="9"/>
      <s:c r="F4" s="10"/>
      <s:c r="G4" s="9"/>
      <s:c r="H4" s="11" t="s">
        <s:v>13</s:v>
      </s:c>
      <s:c r="I4" s="12">
        <s:v>95</s:v>
      </s:c>
      <s:c r="J4" s="12"/>
      <s:c r="K4" s="12"/>
      <s:c r="L4" s="12"/>
      <s:c r="M4" s="12"/>
    </s:row>
    <s:row x14ac:dyDescent="0.25" r="5" spans="2:17" ht="43" customHeight="1" thickBot="1">
      <s:c r="B5" s="8" t="s">
        <s:v>5</s:v>
      </s:c>
      <s:c r="C5" s="13">
        <s:v>3</s:v>
      </s:c>
      <s:c r="D5" s="13"/>
      <s:c r="E5" s="13"/>
      <s:c r="F5" s="14"/>
      <s:c r="G5" s="13"/>
      <s:c r="H5" s="15" t="s">
        <s:v>2</s:v>
      </s:c>
      <s:c r="I5" s="16">
        <s:f>SQRT((I3*I4)/3600)</s:f>
        <s:v>2.2391714737574007</s:v>
      </s:c>
      <s:c r="J5" s="2"/>
      <s:c r="K5" s="24"/>
      <s:c r="L5" s="135"/>
      <s:c r="M5" s="135"/>
      <s:c r="N5" s="25"/>
      <s:c r="O5" s="26"/>
      <s:c r="P5" s="26"/>
      <s:c r="Q5" s="26"/>
    </s:row>
    <s:row x14ac:dyDescent="0.2" r="6" spans="2:17" ht="35.5" customHeight="1">
      <s:c r="B6" s="8" t="s">
        <s:v>6</s:v>
      </s:c>
      <s:c r="C6" s="13">
        <s:v>5</s:v>
      </s:c>
      <s:c r="D6" s="13"/>
      <s:c r="E6" s="13"/>
      <s:c r="F6" s="14"/>
      <s:c r="G6" s="13"/>
      <s:c r="H6" s="17"/>
      <s:c r="I6" s="17"/>
      <s:c r="J6" s="2"/>
      <s:c r="K6" s="24"/>
      <s:c r="L6" s="136"/>
      <s:c r="M6" s="136"/>
      <s:c r="N6" s="24"/>
      <s:c r="O6" s="26"/>
      <s:c r="P6" s="26"/>
      <s:c r="Q6" s="26"/>
    </s:row>
    <s:row x14ac:dyDescent="0.2" r="7" spans="2:17" ht="35" customHeight="1">
      <s:c r="B7" s="8" t="s">
        <s:v>0</s:v>
      </s:c>
      <s:c r="C7" s="13">
        <s:v>5</s:v>
      </s:c>
      <s:c r="D7" s="13"/>
      <s:c r="E7" s="13"/>
      <s:c r="F7" s="14"/>
      <s:c r="G7" s="13"/>
      <s:c r="H7" s="17"/>
      <s:c r="I7" s="17"/>
      <s:c r="J7" s="2"/>
      <s:c r="K7" s="24"/>
      <s:c r="L7" s="24"/>
      <s:c r="M7" s="24"/>
      <s:c r="N7" s="24"/>
      <s:c r="O7" s="26"/>
      <s:c r="P7" s="26"/>
      <s:c r="Q7" s="26"/>
    </s:row>
    <s:row x14ac:dyDescent="0.2" r="8" spans="2:17" ht="29.5" customHeight="1">
      <s:c r="B8" s="8" t="s">
        <s:v>7</s:v>
      </s:c>
      <s:c r="C8" s="13">
        <s:v>10</s:v>
      </s:c>
      <s:c r="D8" s="13"/>
      <s:c r="E8" s="13"/>
      <s:c r="F8" s="14"/>
      <s:c r="G8" s="13"/>
      <s:c r="H8" s="17"/>
      <s:c r="I8" s="17"/>
      <s:c r="J8" s="2"/>
      <s:c r="K8" s="24"/>
      <s:c r="L8" s="24"/>
      <s:c r="M8" s="24"/>
      <s:c r="N8" s="24"/>
      <s:c r="O8" s="26"/>
      <s:c r="P8" s="26"/>
      <s:c r="Q8" s="26"/>
    </s:row>
    <s:row x14ac:dyDescent="0.2" r="9" spans="2:17" ht="43" customHeight="1">
      <s:c r="B9" s="8" t="s">
        <s:v>8</s:v>
      </s:c>
      <s:c r="C9" s="13">
        <s:v>18</s:v>
      </s:c>
      <s:c r="D9" s="13"/>
      <s:c r="E9" s="13"/>
      <s:c r="F9" s="14"/>
      <s:c r="G9" s="13"/>
      <s:c r="H9" s="17"/>
      <s:c r="I9" s="17"/>
      <s:c r="J9" s="2"/>
      <s:c r="K9" s="24"/>
      <s:c r="L9" s="4">
        <s:f>SUM(C4:C11)/16</s:f>
        <s:v>3.75</s:v>
      </s:c>
      <s:c r="M9" s="4">
        <s:f>L9*I5*1.3</s:f>
        <s:v>10.915960934567329</s:v>
      </s:c>
      <s:c r="N9" s="24"/>
      <s:c r="O9" s="26"/>
      <s:c r="P9" s="26"/>
      <s:c r="Q9" s="26"/>
    </s:row>
    <s:row x14ac:dyDescent="0.2" r="10" spans="2:17" ht="34" customHeight="1">
      <s:c r="B10" s="8" t="s">
        <s:v>9</s:v>
      </s:c>
      <s:c r="C10" s="13">
        <s:v>8</s:v>
      </s:c>
      <s:c r="D10" s="13"/>
      <s:c r="E10" s="13"/>
      <s:c r="F10" s="14"/>
      <s:c r="G10" s="13"/>
      <s:c r="H10" s="17"/>
      <s:c r="I10" s="17"/>
      <s:c r="J10" s="2"/>
      <s:c r="K10" s="24"/>
      <s:c r="L10" s="4">
        <s:f>SUM(D4:D11)/16</s:f>
        <s:v>0</s:v>
      </s:c>
      <s:c r="M10" s="4">
        <s:f>L10*I5*1.3</s:f>
        <s:v>0</s:v>
      </s:c>
      <s:c r="N10" s="24"/>
      <s:c r="O10" s="26"/>
      <s:c r="P10" s="26"/>
      <s:c r="Q10" s="26"/>
    </s:row>
    <s:row x14ac:dyDescent="0.25" r="11" spans="2:17" ht="33.5" customHeight="1" thickBot="1">
      <s:c r="B11" s="18" t="s">
        <s:v>14</s:v>
      </s:c>
      <s:c r="C11" s="19">
        <s:v>7</s:v>
      </s:c>
      <s:c r="D11" s="19"/>
      <s:c r="E11" s="19"/>
      <s:c r="F11" s="20"/>
      <s:c r="G11" s="19"/>
      <s:c r="H11" s="17"/>
      <s:c r="I11" s="17"/>
      <s:c r="J11" s="2"/>
      <s:c r="K11" s="2"/>
      <s:c r="L11" s="4">
        <s:f>E12/16</s:f>
        <s:v>0</s:v>
      </s:c>
      <s:c r="M11" s="4">
        <s:f>L11*I5*1.3</s:f>
        <s:v>0</s:v>
      </s:c>
      <s:c r="N11" s="2"/>
    </s:row>
    <s:row x14ac:dyDescent="0.25" r="12" spans="2:17" ht="33.5" customHeight="1" thickBot="1">
      <s:c r="B12" s="21" t="s">
        <s:v>1</s:v>
      </s:c>
      <s:c r="C12" s="5">
        <s:f>SUM(C4:C11)</s:f>
        <s:v>60</s:v>
      </s:c>
      <s:c r="D12" s="5">
        <s:f>SUM(D4:D11)</s:f>
        <s:v>0</s:v>
      </s:c>
      <s:c r="E12" s="5">
        <s:f>SUM(E4:E11)</s:f>
        <s:v>0</s:v>
      </s:c>
      <s:c r="F12" s="5">
        <s:f>SUM(F4:F11)</s:f>
        <s:v>0</s:v>
      </s:c>
      <s:c r="G12" s="5">
        <s:f>SUM(G4:G11)</s:f>
        <s:v>0</s:v>
      </s:c>
      <s:c r="H12" s="17"/>
      <s:c r="I12" s="17"/>
      <s:c r="J12" s="2"/>
      <s:c r="K12" s="2"/>
      <s:c r="L12" s="4">
        <s:f>F12/16</s:f>
        <s:v>0</s:v>
      </s:c>
      <s:c r="M12" s="4">
        <s:f>L12*I5*1.3</s:f>
        <s:v>0</s:v>
      </s:c>
      <s:c r="N12" s="2"/>
    </s:row>
    <s:row x14ac:dyDescent="0.25" r="13" spans="2:17" ht="33.5" customHeight="1" thickBot="1">
      <s:c r="B13" s="28" t="s">
        <s:v>10</s:v>
      </s:c>
      <s:c r="C13" s="29">
        <s:f>(M9*100)/I4</s:f>
        <s:v>11.490485194281399</s:v>
      </s:c>
      <s:c r="D13" s="29" t="e">
        <s:f>(M10*100)/J4</s:f>
        <s:v>#DIV/0!</s:v>
      </s:c>
      <s:c r="E13" s="29" t="e">
        <s:f>(M11*100)/K4</s:f>
        <s:v>#DIV/0!</s:v>
      </s:c>
      <s:c r="F13" s="29" t="e">
        <s:f>(M12*100)/L4</s:f>
        <s:v>#DIV/0!</s:v>
      </s:c>
      <s:c r="G13" s="29" t="e">
        <s:f>(M13*100)/M4</s:f>
        <s:v>#DIV/0!</s:v>
      </s:c>
      <s:c r="H13" s="17"/>
      <s:c r="I13" s="17"/>
      <s:c r="J13" s="2"/>
      <s:c r="K13" s="2"/>
      <s:c r="L13" s="4">
        <s:f>G12/16</s:f>
        <s:v>0</s:v>
      </s:c>
      <s:c r="M13" s="4">
        <s:f>L13*I5*1.3</s:f>
        <s:v>0</s:v>
      </s:c>
      <s:c r="N13" s="2"/>
    </s:row>
    <s:row x14ac:dyDescent="0.25" r="14" spans="2:17" ht="45" customHeight="1" thickBot="1">
      <s:c r="B14" s="70" t="s">
        <s:v>16</s:v>
      </s:c>
      <s:c r="C14" s="30">
        <s:f>(I4-(I4/100*C13))*0.45</s:f>
        <s:v>37.837817579444703</s:v>
      </s:c>
      <s:c r="D14" s="30" t="e">
        <s:f>(J4-(J4/100*D13))*0.45</s:f>
        <s:v>#DIV/0!</s:v>
      </s:c>
      <s:c r="E14" s="30" t="e">
        <s:f>(K4-(K4/100*E13))*0.45</s:f>
        <s:v>#DIV/0!</s:v>
      </s:c>
      <s:c r="F14" s="30" t="e">
        <s:f>(L4-(L4/100*F13))*0.45</s:f>
        <s:v>#DIV/0!</s:v>
      </s:c>
      <s:c r="G14" s="30" t="e">
        <s:f>(M4-(M4/100*G13))*0.45</s:f>
        <s:v>#DIV/0!</s:v>
      </s:c>
      <s:c r="H14" s="1"/>
      <s:c r="I14" s="1"/>
      <s:c r="J14" s="1"/>
      <s:c r="K14" s="1"/>
      <s:c r="L14" s="1"/>
      <s:c r="M14" s="1"/>
      <s:c r="N14" s="1"/>
    </s:row>
    <s:row x14ac:dyDescent="0.2" r="15" spans="2:17">
      <s:c r="B15" s="1"/>
      <s:c r="C15" s="1"/>
      <s:c r="D15" s="1"/>
      <s:c r="E15" s="1"/>
      <s:c r="F15" s="1"/>
      <s:c r="G15" s="1"/>
      <s:c r="H15" s="1"/>
      <s:c r="I15" s="1"/>
      <s:c r="J15" s="1"/>
      <s:c r="K15" s="1"/>
      <s:c r="L15" s="1"/>
      <s:c r="M15" s="1"/>
      <s:c r="N15" s="1"/>
    </s:row>
    <s:row x14ac:dyDescent="0.2" r="16" spans="2:17">
      <s:c r="B16" s="1"/>
      <s:c r="C16" s="1"/>
      <s:c r="D16" s="1"/>
      <s:c r="E16" s="1"/>
      <s:c r="F16" s="1"/>
      <s:c r="G16" s="1"/>
      <s:c r="H16" s="1"/>
      <s:c r="I16" s="1"/>
      <s:c r="J16" s="1"/>
      <s:c r="K16" s="1"/>
      <s:c r="L16" s="1"/>
      <s:c r="M16" s="1"/>
      <s:c r="N16" s="1"/>
    </s:row>
  </s:sheetData>
  <s:mergeCells count="3">
    <s:mergeCell ref="L5:M5"/>
    <s:mergeCell ref="L6:M6"/>
    <s:mergeCell ref="B2:I2"/>
  </s:mergeCells>
  <s:pageMargins left="0.7" right="0.7" top="0.75" bottom="0.75" header="0.3" footer="0.3"/>
  <s:pageSetup paperSize="9" orientation="portrait" horizontalDpi="180" verticalDpi="180" r:id="rId1"/>
  <s:drawing r:id="rId2"/>
</s:worksheet>
</file>

<file path=xl/worksheets/sheet3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00000000-0001-0000-0200-000000000000}">
  <s:dimension ref="C1:Q21"/>
  <s:sheetViews>
    <s:sheetView tabSelected="0" topLeftCell="A2" zoomScale="82" zoomScaleNormal="110" workbookViewId="0">
      <s:selection activeCell="D3" sqref="D3"/>
    </s:sheetView>
  </s:sheetViews>
  <s:sheetFormatPr x14ac:dyDescent="0.2" baseColWidth="10" defaultColWidth="8.832" defaultRowHeight="15"/>
  <s:cols>
    <s:col min="1" max="1" width="27.664" style="31" customWidth="1"/>
    <s:col min="2" max="2" width="44.332" style="31" customWidth="1"/>
    <s:col min="3" max="3" width="22.832" style="31" customWidth="1"/>
    <s:col min="4" max="5" width="11.832" style="31" customWidth="1"/>
    <s:col min="6" max="8" width="11.5" style="31" customWidth="1"/>
    <s:col min="9" max="9" width="16.164" style="31" customWidth="1"/>
    <s:col min="10" max="10" width="12.5" style="31" customWidth="1"/>
    <s:col min="11" max="16384" width="8.832" style="31"/>
  </s:cols>
  <s:sheetData>
    <s:row x14ac:dyDescent="0.25" r="1" spans="3:17" ht="16" thickBot="1"/>
    <s:row x14ac:dyDescent="0.25" r="2" spans="3:17" ht="41.5" customHeight="1" thickBot="1">
      <s:c r="C2" s="140" t="s">
        <s:v>15</s:v>
      </s:c>
      <s:c r="D2" s="141"/>
      <s:c r="E2" s="141"/>
      <s:c r="F2" s="141"/>
      <s:c r="G2" s="141"/>
      <s:c r="H2" s="141"/>
      <s:c r="I2" s="141"/>
      <s:c r="J2" s="142"/>
      <s:c r="K2" s="101"/>
      <s:c r="L2" s="101"/>
      <s:c r="M2" s="101"/>
      <s:c r="N2" s="101"/>
      <s:c r="O2" s="2"/>
    </s:row>
    <s:row x14ac:dyDescent="0.25" r="3" spans="3:17" ht="39.5" customHeight="1" thickBot="1">
      <s:c r="C3" s="112" t="s">
        <s:v>11</s:v>
      </s:c>
      <s:c r="D3" s="111" t="s">
        <s:v>50</s:v>
      </s:c>
      <s:c r="E3" s="111"/>
      <s:c r="F3" s="111"/>
      <s:c r="G3" s="110"/>
      <s:c r="H3" s="110"/>
      <s:c r="I3" s="107" t="s">
        <s:v>47</s:v>
      </s:c>
      <s:c r="J3" s="106">
        <s:v>170</s:v>
      </s:c>
      <s:c r="K3" s="101"/>
      <s:c r="L3" s="101"/>
      <s:c r="M3" s="101"/>
      <s:c r="N3" s="101"/>
      <s:c r="O3" s="3"/>
    </s:row>
    <s:row x14ac:dyDescent="0.2" r="4" spans="3:17" ht="39.5" customHeight="1">
      <s:c r="C4" s="100" t="s">
        <s:v>4</s:v>
      </s:c>
      <s:c r="D4" s="108">
        <s:v>7</s:v>
      </s:c>
      <s:c r="E4" s="108"/>
      <s:c r="F4" s="108"/>
      <s:c r="G4" s="108"/>
      <s:c r="H4" s="108"/>
      <s:c r="I4" s="107" t="s">
        <s:v>46</s:v>
      </s:c>
      <s:c r="J4" s="106"/>
      <s:c r="K4" s="101"/>
      <s:c r="L4" s="101"/>
      <s:c r="M4" s="101"/>
      <s:c r="N4" s="101"/>
      <s:c r="O4" s="113"/>
    </s:row>
    <s:row x14ac:dyDescent="0.2" r="5" spans="3:17" ht="36" customHeight="1">
      <s:c r="C5" s="100" t="s">
        <s:v>5</s:v>
      </s:c>
      <s:c r="D5" s="98">
        <s:v>7</s:v>
      </s:c>
      <s:c r="E5" s="98"/>
      <s:c r="F5" s="98"/>
      <s:c r="G5" s="98"/>
      <s:c r="H5" s="98"/>
      <s:c r="I5" s="107" t="s">
        <s:v>45</s:v>
      </s:c>
      <s:c r="J5" s="106">
        <s:v>17</s:v>
      </s:c>
      <s:c r="K5" s="101"/>
      <s:c r="L5" s="101"/>
      <s:c r="M5" s="101"/>
      <s:c r="N5" s="101"/>
      <s:c r="O5" s="25"/>
      <s:c r="P5" s="26"/>
      <s:c r="Q5" s="26"/>
    </s:row>
    <s:row x14ac:dyDescent="0.2" r="6" spans="3:17" ht="39" customHeight="1">
      <s:c r="C6" s="100" t="s">
        <s:v>6</s:v>
      </s:c>
      <s:c r="D6" s="98">
        <s:v>14</s:v>
      </s:c>
      <s:c r="E6" s="98"/>
      <s:c r="F6" s="98"/>
      <s:c r="G6" s="98"/>
      <s:c r="H6" s="98"/>
      <s:c r="I6" s="105" t="s">
        <s:v>13</s:v>
      </s:c>
      <s:c r="J6" s="104">
        <s:v>59.5</s:v>
      </s:c>
      <s:c r="K6" s="104"/>
      <s:c r="L6" s="104"/>
      <s:c r="M6" s="104"/>
      <s:c r="N6" s="104"/>
      <s:c r="O6" s="53"/>
      <s:c r="P6" s="54"/>
    </s:row>
    <s:row x14ac:dyDescent="0.25" r="7" spans="3:17" ht="35" customHeight="1" thickBot="1">
      <s:c r="C7" s="100" t="s">
        <s:v>7</s:v>
      </s:c>
      <s:c r="D7" s="98">
        <s:v>9</s:v>
      </s:c>
      <s:c r="E7" s="98"/>
      <s:c r="F7" s="98"/>
      <s:c r="G7" s="98"/>
      <s:c r="H7" s="98"/>
      <s:c r="I7" s="103" t="s">
        <s:v>2</s:v>
      </s:c>
      <s:c r="J7" s="102">
        <s:f>SQRT((J3*J6)/3600)</s:f>
        <s:v>1.6762226052115579</s:v>
      </s:c>
      <s:c r="K7" s="125">
        <s:f>SQRT((J3*K6)/3600)</s:f>
        <s:v>0</s:v>
      </s:c>
      <s:c r="L7" s="125">
        <s:f>SQRT((J3*L6)/3600)</s:f>
        <s:v>0</s:v>
      </s:c>
      <s:c r="M7" s="125">
        <s:f>SQRT((J3*M6)/3600)</s:f>
        <s:v>0</s:v>
      </s:c>
      <s:c r="N7" s="125">
        <s:f>SQRT((J3*N6)/3600)</s:f>
        <s:v>0</s:v>
      </s:c>
      <s:c r="O7" s="53"/>
      <s:c r="P7" s="54"/>
    </s:row>
    <s:row x14ac:dyDescent="0.2" r="8" spans="3:17" ht="35.5" customHeight="1">
      <s:c r="C8" s="100" t="s">
        <s:v>8</s:v>
      </s:c>
      <s:c r="D8" s="98">
        <s:v>9</s:v>
      </s:c>
      <s:c r="E8" s="98"/>
      <s:c r="F8" s="98"/>
      <s:c r="G8" s="98"/>
      <s:c r="H8" s="98"/>
      <s:c r="I8" s="114"/>
      <s:c r="J8" s="114"/>
      <s:c r="K8" s="115"/>
      <s:c r="L8" s="115"/>
      <s:c r="M8" s="143"/>
      <s:c r="N8" s="143"/>
      <s:c r="O8" s="53"/>
      <s:c r="P8" s="54"/>
    </s:row>
    <s:row x14ac:dyDescent="0.2" r="9" spans="3:17" ht="38.5" customHeight="1">
      <s:c r="C9" s="100" t="s">
        <s:v>9</s:v>
      </s:c>
      <s:c r="D9" s="98">
        <s:v>12</s:v>
      </s:c>
      <s:c r="E9" s="98"/>
      <s:c r="F9" s="98"/>
      <s:c r="G9" s="98"/>
      <s:c r="H9" s="98"/>
      <s:c r="I9" s="114"/>
      <s:c r="J9" s="114"/>
      <s:c r="K9" s="115"/>
      <s:c r="L9" s="115"/>
      <s:c r="M9" s="115"/>
      <s:c r="N9" s="115"/>
      <s:c r="O9" s="53"/>
      <s:c r="P9" s="54"/>
    </s:row>
    <s:row x14ac:dyDescent="0.25" r="10" spans="3:17" ht="38" customHeight="1" thickBot="1">
      <s:c r="C10" s="97" t="s">
        <s:v>14</s:v>
      </s:c>
      <s:c r="D10" s="95">
        <s:v>17</s:v>
      </s:c>
      <s:c r="E10" s="95"/>
      <s:c r="F10" s="95"/>
      <s:c r="G10" s="95"/>
      <s:c r="H10" s="95"/>
      <s:c r="I10" s="114"/>
      <s:c r="J10" s="114"/>
      <s:c r="K10" s="115"/>
      <s:c r="L10" s="115"/>
      <s:c r="M10" s="149">
        <s:f validation_="true">SUM(D4:D10)/14</s:f>
        <s:v>5.35714285714285</s:v>
      </s:c>
      <s:c r="N10" s="116">
        <s:f>M10*J7*1.3</s:f>
        <s:v>11.6736931434376</s:v>
      </s:c>
      <s:c r="O10" s="53"/>
      <s:c r="P10" s="54"/>
    </s:row>
    <s:row x14ac:dyDescent="0.25" r="11" spans="3:17" ht="41" customHeight="1" thickBot="1">
      <s:c r="C11" s="94" t="s">
        <s:v>1</s:v>
      </s:c>
      <s:c r="D11" s="93">
        <s:f>SUM(D4:D10)</s:f>
        <s:v>75</s:v>
      </s:c>
      <s:c r="E11" s="93">
        <s:f>SUM(E4:E10)</s:f>
        <s:v>0</s:v>
      </s:c>
      <s:c r="F11" s="93">
        <s:f>SUM(F4:F10)</s:f>
        <s:v>0</s:v>
      </s:c>
      <s:c r="G11" s="93">
        <s:f>SUM(G4:G10)</s:f>
        <s:v>0</s:v>
      </s:c>
      <s:c r="H11" s="93">
        <s:f>SUM(H4:H10)</s:f>
        <s:v>0</s:v>
      </s:c>
      <s:c r="I11" s="114"/>
      <s:c r="J11" s="114"/>
      <s:c r="K11" s="115"/>
      <s:c r="L11" s="115"/>
      <s:c r="M11" s="116">
        <s:f>SUM(E4:E10)/14</s:f>
        <s:v>0</s:v>
      </s:c>
      <s:c r="N11" s="116">
        <s:f>M11*K7*1.3</s:f>
        <s:v>0</s:v>
      </s:c>
      <s:c r="O11" s="53"/>
      <s:c r="P11" s="54"/>
    </s:row>
    <s:row x14ac:dyDescent="0.25" r="12" spans="3:17" ht="37" customHeight="1" thickBot="1">
      <s:c r="C12" s="123" t="s">
        <s:v>49</s:v>
      </s:c>
      <s:c r="D12" s="124">
        <s:f validation_="true">D13*J6/100</s:f>
        <s:v>11.6736931434376</s:v>
      </s:c>
      <s:c r="E12" s="124" t="e">
        <s:f validation_="true">E13*K6/100</s:f>
        <s:v>#DIV/0!</s:v>
      </s:c>
      <s:c r="F12" s="124" t="e">
        <s:f validation_="true">F13*L6/100</s:f>
        <s:v>#DIV/0!</s:v>
      </s:c>
      <s:c r="G12" s="124" t="e">
        <s:f validation_="true">G13*M6/100</s:f>
        <s:v>#DIV/0!</s:v>
      </s:c>
      <s:c r="H12" s="124" t="e">
        <s:f validation_="true">H13*N6/100</s:f>
        <s:v>#DIV/0!</s:v>
      </s:c>
      <s:c r="I12" s="114"/>
      <s:c r="J12" s="114"/>
      <s:c r="K12" s="115"/>
      <s:c r="L12" s="115"/>
      <s:c r="M12" s="116">
        <s:f>F11/14</s:f>
        <s:v>0</s:v>
      </s:c>
      <s:c r="N12" s="116">
        <s:f>M12*L7*1.3</s:f>
        <s:v>0</s:v>
      </s:c>
      <s:c r="O12" s="53"/>
      <s:c r="P12" s="54"/>
    </s:row>
    <s:row x14ac:dyDescent="0.25" r="13" spans="3:17" ht="34.75" customHeight="1" thickBot="1">
      <s:c r="C13" s="117" t="s">
        <s:v>10</s:v>
      </s:c>
      <s:c r="D13" s="118">
        <s:f validation_="true">(N10*100)/J6</s:f>
        <s:v>19.6196523419119</s:v>
      </s:c>
      <s:c r="E13" s="118" t="e">
        <s:f>(N11*100)/K6</s:f>
        <s:v>#DIV/0!</s:v>
      </s:c>
      <s:c r="F13" s="118" t="e">
        <s:f>(N12*100)/L6</s:f>
        <s:v>#DIV/0!</s:v>
      </s:c>
      <s:c r="G13" s="118" t="e">
        <s:f>(N13*100)/M6</s:f>
        <s:v>#DIV/0!</s:v>
      </s:c>
      <s:c r="H13" s="118" t="e">
        <s:f>(N14*100)/N6</s:f>
        <s:v>#DIV/0!</s:v>
      </s:c>
      <s:c r="I13" s="114"/>
      <s:c r="J13" s="114"/>
      <s:c r="K13" s="115"/>
      <s:c r="L13" s="115"/>
      <s:c r="M13" s="116">
        <s:f>G11/14</s:f>
        <s:v>0</s:v>
      </s:c>
      <s:c r="N13" s="116">
        <s:f>M13*M7*1.3</s:f>
        <s:v>0</s:v>
      </s:c>
      <s:c r="O13" s="1"/>
    </s:row>
    <s:row x14ac:dyDescent="0.2" r="14" spans="3:17" ht="39" customHeight="1">
      <s:c r="C14" s="119" t="s">
        <s:v>48</s:v>
      </s:c>
      <s:c r="D14" s="120">
        <s:f>J6-J6*(D13/100)</s:f>
        <s:v>47.8263068565623</s:v>
      </s:c>
      <s:c r="E14" s="120" t="e">
        <s:f>K6-K6*(E13/100)</s:f>
        <s:v>#DIV/0!</s:v>
      </s:c>
      <s:c r="F14" s="120" t="e">
        <s:f>L6-L6*(F13/100)</s:f>
        <s:v>#DIV/0!</s:v>
      </s:c>
      <s:c r="G14" s="120" t="e">
        <s:f>M6-M6*(G13/100)</s:f>
        <s:v>#DIV/0!</s:v>
      </s:c>
      <s:c r="H14" s="120" t="e">
        <s:f>N6-N6*(H13/100)</s:f>
        <s:v>#DIV/0!</s:v>
      </s:c>
      <s:c r="I14" s="114"/>
      <s:c r="J14" s="114"/>
      <s:c r="K14" s="115"/>
      <s:c r="L14" s="115"/>
      <s:c r="M14" s="116">
        <s:f>H11/14</s:f>
        <s:v>0</s:v>
      </s:c>
      <s:c r="N14" s="116">
        <s:f>M14*N7*1.3</s:f>
        <s:v>0</s:v>
      </s:c>
      <s:c r="O14" s="1"/>
    </s:row>
    <s:row x14ac:dyDescent="0.2" r="15" spans="3:17" ht="27.5" customHeight="1">
      <s:c r="C15" s="88" t="s">
        <s:v>44</s:v>
      </s:c>
      <s:c r="D15" s="88" t="e">
        <s:f>#REF!-D9</s:f>
        <s:v>#REF!</s:v>
      </s:c>
      <s:c r="E15" s="88" t="e">
        <s:f>#REF!-E9</s:f>
        <s:v>#REF!</s:v>
      </s:c>
      <s:c r="F15" s="88" t="e">
        <s:f>#REF!-F9</s:f>
        <s:v>#REF!</s:v>
      </s:c>
      <s:c r="G15" s="88" t="e">
        <s:f>#REF!-G9</s:f>
        <s:v>#REF!</s:v>
      </s:c>
      <s:c r="H15" s="88" t="e">
        <s:f>#REF!-H9</s:f>
        <s:v>#REF!</s:v>
      </s:c>
      <s:c r="I15" s="121"/>
      <s:c r="J15" s="121"/>
      <s:c r="K15" s="121"/>
      <s:c r="L15" s="121"/>
      <s:c r="M15" s="121"/>
      <s:c r="N15" s="121"/>
      <s:c r="O15" s="1"/>
    </s:row>
    <s:row x14ac:dyDescent="0.2" r="16" spans="3:17" ht="35" customHeight="1">
      <s:c r="C16" s="88" t="s">
        <s:v>43</s:v>
      </s:c>
      <s:c r="D16" s="88" t="e">
        <s:f>#REF!-D10</s:f>
        <s:v>#REF!</s:v>
      </s:c>
      <s:c r="E16" s="88" t="e">
        <s:f>#REF!-E10</s:f>
        <s:v>#REF!</s:v>
      </s:c>
      <s:c r="F16" s="88" t="e">
        <s:f>#REF!-F10</s:f>
        <s:v>#REF!</s:v>
      </s:c>
      <s:c r="G16" s="88" t="e">
        <s:f>#REF!-G10</s:f>
        <s:v>#REF!</s:v>
      </s:c>
      <s:c r="H16" s="88" t="e">
        <s:f>#REF!-H10</s:f>
        <s:v>#REF!</s:v>
      </s:c>
      <s:c r="I16" s="121"/>
      <s:c r="J16" s="121"/>
      <s:c r="K16" s="121"/>
      <s:c r="L16" s="121"/>
      <s:c r="M16" s="121"/>
      <s:c r="N16" s="121"/>
    </s:row>
    <s:row x14ac:dyDescent="0.2" r="17" spans="3:14">
      <s:c r="C17" s="88" t="s">
        <s:v>42</s:v>
      </s:c>
      <s:c r="D17" s="88" t="e">
        <s:f>#REF!-D5</s:f>
        <s:v>#REF!</s:v>
      </s:c>
      <s:c r="E17" s="88" t="e">
        <s:f>#REF!-E5</s:f>
        <s:v>#REF!</s:v>
      </s:c>
      <s:c r="F17" s="88" t="e">
        <s:f>#REF!-F5</s:f>
        <s:v>#REF!</s:v>
      </s:c>
      <s:c r="G17" s="88" t="e">
        <s:f>#REF!-G5</s:f>
        <s:v>#REF!</s:v>
      </s:c>
      <s:c r="H17" s="88" t="e">
        <s:f>#REF!-H5</s:f>
        <s:v>#REF!</s:v>
      </s:c>
      <s:c r="I17" s="1"/>
      <s:c r="J17" s="1"/>
      <s:c r="K17" s="1"/>
      <s:c r="L17" s="1"/>
      <s:c r="M17" s="1"/>
      <s:c r="N17" s="1"/>
    </s:row>
    <s:row x14ac:dyDescent="0.2" r="18" spans="3:14">
      <s:c r="C18" s="86"/>
      <s:c r="D18" s="86"/>
      <s:c r="E18" s="86"/>
      <s:c r="F18" s="86"/>
      <s:c r="G18" s="86"/>
      <s:c r="H18" s="86"/>
    </s:row>
    <s:row x14ac:dyDescent="0.2" r="19" spans="3:14">
      <s:c r="C19" s="54"/>
      <s:c r="D19" s="54"/>
      <s:c r="E19" s="54"/>
      <s:c r="F19" s="54"/>
      <s:c r="G19" s="54"/>
      <s:c r="H19" s="54"/>
    </s:row>
    <s:row x14ac:dyDescent="0.2" r="20" spans="3:14">
      <s:c r="C20" s="54"/>
      <s:c r="D20" s="54"/>
      <s:c r="E20" s="54"/>
      <s:c r="F20" s="54"/>
      <s:c r="G20" s="54"/>
      <s:c r="H20" s="54"/>
    </s:row>
    <s:row x14ac:dyDescent="0.2" r="21" spans="3:14">
      <s:c r="C21" s="54"/>
      <s:c r="D21" s="54"/>
      <s:c r="E21" s="54"/>
      <s:c r="F21" s="54"/>
      <s:c r="G21" s="54"/>
      <s:c r="H21" s="54"/>
    </s:row>
  </s:sheetData>
  <s:mergeCells count="2">
    <s:mergeCell ref="C2:J2"/>
    <s:mergeCell ref="M8:N8"/>
  </s:mergeCells>
  <s:pageMargins left="0.7" right="0.7" top="0.75" bottom="0.75" header="0.3" footer="0.3"/>
  <s:pageSetup paperSize="9" orientation="portrait" horizontalDpi="180" verticalDpi="180" r:id="rId1"/>
  <s:drawing r:id="rId2"/>
</s:worksheet>
</file>

<file path=xl/worksheets/sheet4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00000000-0001-0000-0300-000000000000}">
  <s:dimension ref="C1:R22"/>
  <s:sheetViews>
    <s:sheetView tabSelected="0" topLeftCell="A2" zoomScale="110" zoomScaleNormal="110" workbookViewId="0">
      <s:selection activeCell="C15" sqref="C15:E15"/>
    </s:sheetView>
  </s:sheetViews>
  <s:sheetFormatPr x14ac:dyDescent="0.2" baseColWidth="10" defaultColWidth="8.832" defaultRowHeight="15"/>
  <s:cols>
    <s:col min="1" max="1" width="27.664" customWidth="1"/>
    <s:col min="2" max="2" width="40" customWidth="1"/>
    <s:col min="3" max="3" width="20.832" customWidth="1"/>
    <s:col min="4" max="8" width="12.164" customWidth="1"/>
    <s:col min="9" max="9" width="15.164" customWidth="1"/>
    <s:col min="11" max="12" width="8.832" customWidth="1"/>
    <s:col min="14" max="14" width="9.664" customWidth="1"/>
    <s:col min="15" max="15" width="11.164" customWidth="1"/>
  </s:cols>
  <s:sheetData>
    <s:row x14ac:dyDescent="0.25" r="1" spans="3:18" ht="16" thickBot="1"/>
    <s:row x14ac:dyDescent="0.25" r="2" spans="3:18" ht="41" customHeight="1" thickBot="1">
      <s:c r="C2" s="140" t="s">
        <s:v>12</s:v>
      </s:c>
      <s:c r="D2" s="141"/>
      <s:c r="E2" s="141"/>
      <s:c r="F2" s="141"/>
      <s:c r="G2" s="141"/>
      <s:c r="H2" s="141"/>
      <s:c r="I2" s="141"/>
      <s:c r="J2" s="142"/>
      <s:c r="K2" s="2"/>
      <s:c r="L2" s="2"/>
      <s:c r="M2" s="2"/>
      <s:c r="N2" s="2"/>
      <s:c r="O2" s="2"/>
    </s:row>
    <s:row x14ac:dyDescent="0.25" r="3" spans="3:18" ht="32" customHeight="1" thickBot="1">
      <s:c r="C3" s="112" t="s">
        <s:v>11</s:v>
      </s:c>
      <s:c r="D3" s="111">
        <s:v>46274</s:v>
      </s:c>
      <s:c r="E3" s="111">
        <s:v>46289</s:v>
      </s:c>
      <s:c r="F3" s="111"/>
      <s:c r="G3" s="111"/>
      <s:c r="H3" s="110"/>
      <s:c r="I3" s="107" t="s">
        <s:v>47</s:v>
      </s:c>
      <s:c r="J3" s="106">
        <s:v>178</s:v>
      </s:c>
      <s:c r="K3" s="101"/>
      <s:c r="L3" s="101"/>
      <s:c r="M3" s="2"/>
      <s:c r="N3" s="2"/>
      <s:c r="O3" s="3"/>
    </s:row>
    <s:row x14ac:dyDescent="0.2" r="4" spans="3:18" ht="35" customHeight="1">
      <s:c r="C4" s="100" t="s">
        <s:v>4</s:v>
      </s:c>
      <s:c r="D4" s="108">
        <s:v>4</s:v>
      </s:c>
      <s:c r="E4" s="129" t="s">
        <s:v>51</s:v>
      </s:c>
      <s:c r="F4" s="108"/>
      <s:c r="G4" s="109"/>
      <s:c r="H4" s="108"/>
      <s:c r="I4" s="127"/>
      <s:c r="J4" s="128"/>
      <s:c r="K4" s="101"/>
      <s:c r="L4" s="101"/>
      <s:c r="M4" s="2"/>
      <s:c r="N4" s="2"/>
    </s:row>
    <s:row x14ac:dyDescent="0.2" r="5" spans="3:18" ht="36.5" customHeight="1">
      <s:c r="C5" s="100" t="s">
        <s:v>5</s:v>
      </s:c>
      <s:c r="D5" s="98">
        <s:v>4</s:v>
      </s:c>
      <s:c r="E5" s="98">
        <s:v>6</s:v>
      </s:c>
      <s:c r="F5" s="98"/>
      <s:c r="G5" s="99"/>
      <s:c r="H5" s="98"/>
      <s:c r="I5" s="107" t="s">
        <s:v>45</s:v>
      </s:c>
      <s:c r="J5" s="106">
        <s:v>26</s:v>
      </s:c>
      <s:c r="K5" s="101"/>
      <s:c r="L5" s="101"/>
      <s:c r="M5" s="2"/>
      <s:c r="N5" s="2"/>
      <s:c r="O5" s="25"/>
      <s:c r="P5" s="26"/>
      <s:c r="Q5" s="26"/>
      <s:c r="R5" s="26"/>
    </s:row>
    <s:row x14ac:dyDescent="0.2" r="6" spans="3:18" ht="35.5" customHeight="1">
      <s:c r="C6" s="100" t="s">
        <s:v>6</s:v>
      </s:c>
      <s:c r="D6" s="98">
        <s:v>10</s:v>
      </s:c>
      <s:c r="E6" s="98">
        <s:v>8</s:v>
      </s:c>
      <s:c r="F6" s="98"/>
      <s:c r="G6" s="99"/>
      <s:c r="H6" s="98"/>
      <s:c r="I6" s="105" t="s">
        <s:v>13</s:v>
      </s:c>
      <s:c r="J6" s="104">
        <s:v>84.6</s:v>
      </s:c>
      <s:c r="K6" s="104">
        <s:v>82.6</s:v>
      </s:c>
      <s:c r="L6" s="104"/>
      <s:c r="M6" s="104"/>
      <s:c r="N6" s="104"/>
      <s:c r="O6" s="24"/>
      <s:c r="P6" s="26"/>
      <s:c r="Q6" s="26"/>
      <s:c r="R6" s="26"/>
    </s:row>
    <s:row x14ac:dyDescent="0.25" r="7" spans="3:18" ht="35" customHeight="1" thickBot="1">
      <s:c r="C7" s="100" t="s">
        <s:v>0</s:v>
      </s:c>
      <s:c r="D7" s="98">
        <s:v>4</s:v>
      </s:c>
      <s:c r="E7" s="98">
        <s:v>6</s:v>
      </s:c>
      <s:c r="F7" s="98"/>
      <s:c r="G7" s="99"/>
      <s:c r="H7" s="98"/>
      <s:c r="I7" s="103" t="s">
        <s:v>2</s:v>
      </s:c>
      <s:c r="J7" s="102">
        <s:f>SQRT((J3*J6)/3600)</s:f>
        <s:v>2.0452383724153034</s:v>
      </s:c>
      <s:c r="K7" s="104">
        <s:f>SQRT((J3*K6)/3600)</s:f>
        <s:v>2.0209183830900028</s:v>
      </s:c>
      <s:c r="L7" s="104">
        <s:f>SQRT((J3*L6)/3600)</s:f>
        <s:v>0</s:v>
      </s:c>
      <s:c r="M7" s="104">
        <s:f>SQRT((J3*M6)/3600)</s:f>
        <s:v>0</s:v>
      </s:c>
      <s:c r="N7" s="126">
        <s:f>SQRT((J3*N6)/3600)</s:f>
        <s:v>0</s:v>
      </s:c>
      <s:c r="O7" s="24"/>
      <s:c r="P7" s="26"/>
      <s:c r="Q7" s="26"/>
      <s:c r="R7" s="26"/>
    </s:row>
    <s:row x14ac:dyDescent="0.2" r="8" spans="3:18" ht="29.5" customHeight="1">
      <s:c r="C8" s="100" t="s">
        <s:v>7</s:v>
      </s:c>
      <s:c r="D8" s="98">
        <s:v>8</s:v>
      </s:c>
      <s:c r="E8" s="98">
        <s:v>8</s:v>
      </s:c>
      <s:c r="F8" s="98"/>
      <s:c r="G8" s="99"/>
      <s:c r="H8" s="98"/>
      <s:c r="I8" s="17"/>
      <s:c r="J8" s="17"/>
      <s:c r="K8" s="2"/>
      <s:c r="L8" s="24"/>
      <s:c r="M8" s="136"/>
      <s:c r="N8" s="136"/>
      <s:c r="O8" s="24"/>
      <s:c r="P8" s="26"/>
      <s:c r="Q8" s="26"/>
      <s:c r="R8" s="26"/>
    </s:row>
    <s:row x14ac:dyDescent="0.2" r="9" spans="3:18" ht="36.5" customHeight="1">
      <s:c r="C9" s="100" t="s">
        <s:v>8</s:v>
      </s:c>
      <s:c r="D9" s="98">
        <s:v>10</s:v>
      </s:c>
      <s:c r="E9" s="98">
        <s:v>10</s:v>
      </s:c>
      <s:c r="F9" s="98"/>
      <s:c r="G9" s="99"/>
      <s:c r="H9" s="98"/>
      <s:c r="I9" s="17"/>
      <s:c r="J9" s="17"/>
      <s:c r="K9" s="2"/>
      <s:c r="L9" s="24"/>
      <s:c r="M9" s="24"/>
      <s:c r="N9" s="24"/>
      <s:c r="O9" s="24"/>
      <s:c r="P9" s="26"/>
      <s:c r="Q9" s="26"/>
      <s:c r="R9" s="26"/>
    </s:row>
    <s:row x14ac:dyDescent="0.2" r="10" spans="3:18" ht="32.5" customHeight="1">
      <s:c r="C10" s="100" t="s">
        <s:v>9</s:v>
      </s:c>
      <s:c r="D10" s="98">
        <s:v>9</s:v>
      </s:c>
      <s:c r="E10" s="98">
        <s:v>6</s:v>
      </s:c>
      <s:c r="F10" s="98"/>
      <s:c r="G10" s="99"/>
      <s:c r="H10" s="98"/>
      <s:c r="I10" s="17"/>
      <s:c r="J10" s="17"/>
      <s:c r="K10" s="2"/>
      <s:c r="L10" s="24"/>
      <s:c r="M10" s="24"/>
      <s:c r="N10" s="24"/>
      <s:c r="O10" s="24"/>
      <s:c r="P10" s="26"/>
      <s:c r="Q10" s="26"/>
      <s:c r="R10" s="26"/>
    </s:row>
    <s:row x14ac:dyDescent="0.25" r="11" spans="3:18" ht="33.5" customHeight="1" thickBot="1">
      <s:c r="C11" s="97" t="s">
        <s:v>14</s:v>
      </s:c>
      <s:c r="D11" s="95">
        <s:v>4</s:v>
      </s:c>
      <s:c r="E11" s="95">
        <s:v>4</s:v>
      </s:c>
      <s:c r="F11" s="95"/>
      <s:c r="G11" s="96"/>
      <s:c r="H11" s="95"/>
      <s:c r="I11" s="17"/>
      <s:c r="J11" s="17"/>
      <s:c r="K11" s="2"/>
      <s:c r="L11" s="24"/>
      <s:c r="M11" s="4">
        <s:f>SUM(D4:D11)/16</s:f>
        <s:v>3.3125</s:v>
      </s:c>
      <s:c r="N11" s="4">
        <s:f>M11*J7*1.3</s:f>
        <s:v>8.8073077412133998</s:v>
      </s:c>
      <s:c r="O11" s="2"/>
    </s:row>
    <s:row x14ac:dyDescent="0.25" r="12" spans="3:18" ht="42" customHeight="1" thickBot="1">
      <s:c r="C12" s="94" t="s">
        <s:v>1</s:v>
      </s:c>
      <s:c r="D12" s="93">
        <s:f>SUM(D4:D11)</s:f>
        <s:v>53</s:v>
      </s:c>
      <s:c r="E12" s="93">
        <s:f>SUM(E4:E11)</s:f>
        <s:v>48</s:v>
      </s:c>
      <s:c r="F12" s="93">
        <s:f>SUM(F4:F11)</s:f>
        <s:v>0</s:v>
      </s:c>
      <s:c r="G12" s="93">
        <s:f>SUM(G4:G11)</s:f>
        <s:v>0</s:v>
      </s:c>
      <s:c r="H12" s="93">
        <s:f>SUM(H4:H11)</s:f>
        <s:v>0</s:v>
      </s:c>
      <s:c r="I12" s="17"/>
      <s:c r="J12" s="17"/>
      <s:c r="K12" s="2"/>
      <s:c r="L12" s="24"/>
      <s:c r="M12" s="4">
        <s:f>SUM(E4:E11)/16</s:f>
        <s:v>3</s:v>
      </s:c>
      <s:c r="N12" s="4">
        <s:f>M12*K7*1.3</s:f>
        <s:v>7.8815816940510119</s:v>
      </s:c>
      <s:c r="O12" s="2"/>
    </s:row>
    <s:row x14ac:dyDescent="0.25" r="13" spans="3:18" ht="33.5" customHeight="1" thickBot="1">
      <s:c r="C13" s="94" t="s">
        <s:v>49</s:v>
      </s:c>
      <s:c r="D13" s="122">
        <s:f validation_="true">D14*J6/100</s:f>
        <s:v>8.8073077412134</s:v>
      </s:c>
      <s:c r="E13" s="122">
        <s:f validation_="true">E14*K6/100</s:f>
        <s:v>7.8815816940510111</s:v>
      </s:c>
      <s:c r="F13" s="122" t="e">
        <s:f validation_="true">F14*L6/100</s:f>
        <s:v>#DIV/0!</s:v>
      </s:c>
      <s:c r="G13" s="122" t="e">
        <s:f validation_="true">G14*M6/100</s:f>
        <s:v>#DIV/0!</s:v>
      </s:c>
      <s:c r="H13" s="122" t="e">
        <s:f validation_="true">H14*N6/100</s:f>
        <s:v>#DIV/0!</s:v>
      </s:c>
      <s:c r="I13" s="17"/>
      <s:c r="J13" s="17"/>
      <s:c r="K13" s="2"/>
      <s:c r="L13" s="2"/>
      <s:c r="M13" s="4">
        <s:f>F12/16</s:f>
        <s:v>0</s:v>
      </s:c>
      <s:c r="N13" s="4">
        <s:f>M13*L7*1.3</s:f>
        <s:v>0</s:v>
      </s:c>
      <s:c r="O13" s="2"/>
    </s:row>
    <s:row x14ac:dyDescent="0.25" r="14" spans="3:18" ht="37" customHeight="1" thickBot="1">
      <s:c r="C14" s="92" t="s">
        <s:v>10</s:v>
      </s:c>
      <s:c r="D14" s="91">
        <s:f>(N11*100)/J6</s:f>
        <s:v>10.410529244933098</s:v>
      </s:c>
      <s:c r="E14" s="91">
        <s:f>(N12*100)/K6</s:f>
        <s:v>9.5418664576888759</s:v>
      </s:c>
      <s:c r="F14" s="91" t="e">
        <s:f>(N13*100)/L6</s:f>
        <s:v>#DIV/0!</s:v>
      </s:c>
      <s:c r="G14" s="91" t="e">
        <s:f>(N14*100)/M6</s:f>
        <s:v>#DIV/0!</s:v>
      </s:c>
      <s:c r="H14" s="91" t="e">
        <s:f>(N15*100)/N6</s:f>
        <s:v>#DIV/0!</s:v>
      </s:c>
      <s:c r="I14" s="17"/>
      <s:c r="J14" s="17"/>
      <s:c r="K14" s="2"/>
      <s:c r="L14" s="2"/>
      <s:c r="M14" s="4">
        <s:f>G12/16</s:f>
        <s:v>0</s:v>
      </s:c>
      <s:c r="N14" s="4">
        <s:f>M14*M7*1.3</s:f>
        <s:v>0</s:v>
      </s:c>
      <s:c r="O14" s="1"/>
    </s:row>
    <s:row x14ac:dyDescent="0.25" r="15" spans="3:18" ht="32.5" customHeight="1" thickBot="1">
      <s:c r="C15" s="90" t="s">
        <s:v>48</s:v>
      </s:c>
      <s:c r="D15" s="89">
        <s:f>J6-J6*(D14/100)</s:f>
        <s:v>75.792692258786587</s:v>
      </s:c>
      <s:c r="E15" s="89">
        <s:f>K6-K6*(E14/100)</s:f>
        <s:v>74.718418305948987</s:v>
      </s:c>
      <s:c r="F15" s="89" t="e">
        <s:f>L6-L6*(F14/100)</s:f>
        <s:v>#DIV/0!</s:v>
      </s:c>
      <s:c r="G15" s="89" t="e">
        <s:f>M6-M6*(G14/100)</s:f>
        <s:v>#DIV/0!</s:v>
      </s:c>
      <s:c r="H15" s="89" t="e">
        <s:f>N6-N6*(H14/100)</s:f>
        <s:v>#DIV/0!</s:v>
      </s:c>
      <s:c r="I15" s="17"/>
      <s:c r="J15" s="17"/>
      <s:c r="K15" s="2"/>
      <s:c r="L15" s="2"/>
      <s:c r="M15" s="4">
        <s:f>H12/16</s:f>
        <s:v>0</s:v>
      </s:c>
      <s:c r="N15" s="4">
        <s:f>M15*N7*1.3</s:f>
        <s:v>0</s:v>
      </s:c>
      <s:c r="O15" s="1"/>
    </s:row>
    <s:row x14ac:dyDescent="0.2" r="16" spans="3:18" ht="33" customHeight="1">
      <s:c r="C16" s="88" t="s">
        <s:v>44</s:v>
      </s:c>
      <s:c r="D16" s="87" t="e">
        <s:f>#REF!-D10</s:f>
        <s:v>#REF!</s:v>
      </s:c>
      <s:c r="E16" s="87" t="e">
        <s:f>#REF!-E10</s:f>
        <s:v>#REF!</s:v>
      </s:c>
      <s:c r="F16" s="87" t="e">
        <s:f>#REF!-F10</s:f>
        <s:v>#REF!</s:v>
      </s:c>
      <s:c r="G16" s="87" t="e">
        <s:f>#REF!-G10</s:f>
        <s:v>#REF!</s:v>
      </s:c>
      <s:c r="H16" s="87" t="e">
        <s:f>#REF!-H10</s:f>
        <s:v>#REF!</s:v>
      </s:c>
      <s:c r="I16" s="1"/>
      <s:c r="J16" s="1"/>
      <s:c r="K16" s="1"/>
      <s:c r="L16" s="1"/>
      <s:c r="M16" s="1"/>
      <s:c r="N16" s="1"/>
      <s:c r="O16" s="1"/>
    </s:row>
    <s:row x14ac:dyDescent="0.2" r="17" spans="3:15" ht="30" customHeight="1">
      <s:c r="C17" s="88" t="s">
        <s:v>43</s:v>
      </s:c>
      <s:c r="D17" s="87" t="e">
        <s:f>#REF!-D11</s:f>
        <s:v>#REF!</s:v>
      </s:c>
      <s:c r="E17" s="87" t="e">
        <s:f>#REF!-E11</s:f>
        <s:v>#REF!</s:v>
      </s:c>
      <s:c r="F17" s="87" t="e">
        <s:f>#REF!-F11</s:f>
        <s:v>#REF!</s:v>
      </s:c>
      <s:c r="G17" s="87" t="e">
        <s:f>#REF!-G11</s:f>
        <s:v>#REF!</s:v>
      </s:c>
      <s:c r="H17" s="87" t="e">
        <s:f>#REF!-H11</s:f>
        <s:v>#REF!</s:v>
      </s:c>
      <s:c r="I17" s="1"/>
      <s:c r="J17" s="1"/>
      <s:c r="K17" s="1"/>
      <s:c r="L17" s="1"/>
      <s:c r="M17" s="1"/>
      <s:c r="N17" s="1"/>
      <s:c r="O17" s="1"/>
    </s:row>
    <s:row x14ac:dyDescent="0.2" r="18" spans="3:15" ht="33" customHeight="1">
      <s:c r="C18" s="88" t="s">
        <s:v>42</s:v>
      </s:c>
      <s:c r="D18" s="87" t="e">
        <s:f>#REF!-D6</s:f>
        <s:v>#REF!</s:v>
      </s:c>
      <s:c r="E18" s="87" t="e">
        <s:f>#REF!-E6</s:f>
        <s:v>#REF!</s:v>
      </s:c>
      <s:c r="F18" s="87" t="e">
        <s:f>#REF!-F6</s:f>
        <s:v>#REF!</s:v>
      </s:c>
      <s:c r="G18" s="87" t="e">
        <s:f>#REF!-G6</s:f>
        <s:v>#REF!</s:v>
      </s:c>
      <s:c r="H18" s="87" t="e">
        <s:f>#REF!-H6</s:f>
        <s:v>#REF!</s:v>
      </s:c>
      <s:c r="I18" s="1"/>
      <s:c r="J18" s="1"/>
      <s:c r="K18" s="1"/>
      <s:c r="L18" s="1"/>
      <s:c r="M18" s="1"/>
      <s:c r="N18" s="1"/>
    </s:row>
    <s:row x14ac:dyDescent="0.2" r="19" spans="3:15" ht="30" customHeight="1">
      <s:c r="I19" s="1"/>
      <s:c r="J19" s="1"/>
      <s:c r="K19" s="1"/>
      <s:c r="L19" s="1"/>
      <s:c r="M19" s="1"/>
      <s:c r="N19" s="1"/>
    </s:row>
    <s:row x14ac:dyDescent="0.2" r="20" spans="3:15" ht="26.5" customHeight="1"/>
    <s:row x14ac:dyDescent="0.2" r="21" spans="3:15" ht="24.5" customHeight="1"/>
    <s:row x14ac:dyDescent="0.2" r="22" spans="3:15" ht="23.5" customHeight="1"/>
  </s:sheetData>
  <s:mergeCells count="2">
    <s:mergeCell ref="C2:J2"/>
    <s:mergeCell ref="M8:N8"/>
  </s:mergeCells>
  <s:pageMargins left="0.7" right="0.7" top="0.75" bottom="0.75" header="0.3" footer="0.3"/>
  <s:pageSetup paperSize="9" orientation="portrait" horizontalDpi="180" verticalDpi="180" r:id="rId1"/>
  <s:drawing r:id="rId2"/>
</s:worksheet>
</file>

<file path=xl/worksheets/sheet5.xml><?xml version="1.0" encoding="utf-8"?>
<s:worksheet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xmlns:x14ac="http://schemas.microsoft.com/office/spreadsheetml/2009/9/ac" mc:Ignorable="x14ac xr xr2 xr3" xr:uid="{00000000-0001-0000-0600-000000000000}">
  <s:dimension ref="B2:G11"/>
  <s:sheetViews>
    <s:sheetView tabSelected="0" workbookViewId="0">
      <s:selection activeCell="L10" sqref="L10"/>
    </s:sheetView>
  </s:sheetViews>
  <s:sheetFormatPr x14ac:dyDescent="0.2" baseColWidth="10" defaultColWidth="8.832" defaultRowHeight="15"/>
  <s:cols>
    <s:col min="2" max="2" width="18.332" customWidth="1"/>
    <s:col min="3" max="3" width="20.5" customWidth="1"/>
    <s:col min="4" max="4" width="21.664" customWidth="1"/>
  </s:cols>
  <s:sheetData>
    <s:row x14ac:dyDescent="0.25" r="2" spans="2:7" ht="16" thickBot="1"/>
    <s:row x14ac:dyDescent="0.25" r="3" spans="2:7" ht="22" thickBot="1">
      <s:c r="B3" s="78" t="s">
        <s:v>23</s:v>
      </s:c>
      <s:c r="C3" s="79" t="s">
        <s:v>24</s:v>
      </s:c>
      <s:c r="D3" s="80" t="s">
        <s:v>2</s:v>
      </s:c>
      <s:c r="F3" s="74" t="s">
        <s:v>39</s:v>
      </s:c>
      <s:c r="G3" s="75" t="s">
        <s:v>40</s:v>
      </s:c>
    </s:row>
    <s:row x14ac:dyDescent="0.3" r="4" spans="2:7" ht="23" thickTop="1" thickBot="1">
      <s:c r="B4" s="144" t="s">
        <s:v>25</s:v>
      </s:c>
      <s:c r="C4" s="71" t="s">
        <s:v>26</s:v>
      </s:c>
      <s:c r="D4" s="81">
        <s:v>1</s:v>
      </s:c>
      <s:c r="F4" s="76">
        <s:v>1</s:v>
      </s:c>
      <s:c r="G4" s="77" t="s">
        <s:v>41</s:v>
      </s:c>
    </s:row>
    <s:row x14ac:dyDescent="0.25" r="5" spans="2:7" ht="26.5" customHeight="1" thickBot="1">
      <s:c r="B5" s="145"/>
      <s:c r="C5" s="72" t="s">
        <s:v>27</s:v>
      </s:c>
      <s:c r="D5" s="82" t="s">
        <s:v>28</s:v>
      </s:c>
    </s:row>
    <s:row x14ac:dyDescent="0.25" r="6" spans="2:7" ht="24" customHeight="1" thickBot="1">
      <s:c r="B6" s="145"/>
      <s:c r="C6" s="73" t="s">
        <s:v>29</s:v>
      </s:c>
      <s:c r="D6" s="83" t="s">
        <s:v>30</s:v>
      </s:c>
    </s:row>
    <s:row x14ac:dyDescent="0.25" r="7" spans="2:7" ht="36" customHeight="1" thickBot="1">
      <s:c r="B7" s="146"/>
      <s:c r="C7" s="72" t="s">
        <s:v>31</s:v>
      </s:c>
      <s:c r="D7" s="82" t="s">
        <s:v>32</s:v>
      </s:c>
    </s:row>
    <s:row x14ac:dyDescent="0.25" r="8" spans="2:7" ht="22" thickBot="1">
      <s:c r="B8" s="147" t="s">
        <s:v>33</s:v>
      </s:c>
      <s:c r="C8" s="73" t="s">
        <s:v>34</s:v>
      </s:c>
      <s:c r="D8" s="83" t="s">
        <s:v>35</s:v>
      </s:c>
    </s:row>
    <s:row x14ac:dyDescent="0.25" r="9" spans="2:7" ht="22" thickBot="1">
      <s:c r="B9" s="145"/>
      <s:c r="C9" s="72" t="s">
        <s:v>36</s:v>
      </s:c>
      <s:c r="D9" s="82" t="s">
        <s:v>28</s:v>
      </s:c>
    </s:row>
    <s:row x14ac:dyDescent="0.25" r="10" spans="2:7" ht="22" thickBot="1">
      <s:c r="B10" s="145"/>
      <s:c r="C10" s="73" t="s">
        <s:v>37</s:v>
      </s:c>
      <s:c r="D10" s="83" t="s">
        <s:v>30</s:v>
      </s:c>
    </s:row>
    <s:row x14ac:dyDescent="0.25" r="11" spans="2:7" ht="38.5" customHeight="1" thickBot="1">
      <s:c r="B11" s="148"/>
      <s:c r="C11" s="84" t="s">
        <s:v>38</s:v>
      </s:c>
      <s:c r="D11" s="85" t="s">
        <s:v>32</s:v>
      </s:c>
    </s:row>
  </s:sheetData>
  <s:mergeCells count="2">
    <s:mergeCell ref="B4:B7"/>
    <s:mergeCell ref="B8:B11"/>
  </s:mergeCells>
  <s:pageMargins left="0.7" right="0.7" top="0.75" bottom="0.75" header="0.3" footer="0.3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Macintosh Excel</ep:Application>
  <ep:DocSecurity>0</ep:DocSecurity>
  <ep:ScaleCrop>false</ep:ScaleCrop>
  <ep:HeadingPairs>
    <vt:vector size="2" baseType="variant">
      <vt:variant>
        <vt:lpstr>Листы</vt:lpstr>
      </vt:variant>
      <vt:variant>
        <vt:i4>5</vt:i4>
      </vt:variant>
    </vt:vector>
  </ep:HeadingPairs>
  <ep:TitlesOfParts>
    <vt:vector size="5" baseType="lpstr">
      <vt:lpstr>женщины</vt:lpstr>
      <vt:lpstr>мужчины</vt:lpstr>
      <vt:lpstr>калипер женщина</vt:lpstr>
      <vt:lpstr>карипер мужчина (2)</vt:lpstr>
      <vt:lpstr>схема</vt:lpstr>
    </vt:vector>
  </ep:TitlesOfParts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/>
  <dcterms:created xsi:type="dcterms:W3CDTF">2006-09-28T05:33:49Z</dcterms:created>
  <dcterms:modified xsi:type="dcterms:W3CDTF">2026-10-27T16:53:17Z</dcterms:modified>
</cp:coreProperties>
</file>